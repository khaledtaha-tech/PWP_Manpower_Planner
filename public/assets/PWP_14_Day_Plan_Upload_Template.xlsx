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2962d62f404fff" /></Relationships>
</file>

<file path=xl/workbook.xml><?xml version="1.0" encoding="utf-8"?>
<workbook xmlns="http://schemas.openxmlformats.org/spreadsheetml/2006/main">
  <sheets>
    <sheet xmlns:r="http://schemas.openxmlformats.org/officeDocument/2006/relationships" name="Plan" sheetId="1" r:id="Rab5b8c6f188d420e"/>
    <sheet xmlns:r="http://schemas.openxmlformats.org/officeDocument/2006/relationships" name="Instructions" sheetId="2" r:id="Ra52c7e8a830f43f5"/>
    <sheet xmlns:r="http://schemas.openxmlformats.org/officeDocument/2006/relationships" name="Lists" sheetId="3" r:id="R87098507dc594933"/>
    <sheet xmlns:r="http://schemas.openxmlformats.org/officeDocument/2006/relationships" name="Scenario Comparison" sheetId="4" r:id="R137c51fb47714a9d"/>
    <sheet xmlns:r="http://schemas.openxmlformats.org/officeDocument/2006/relationships" name="Mandatory Crusher" sheetId="5" r:id="R8981f6f746aa4b01"/>
    <sheet xmlns:r="http://schemas.openxmlformats.org/officeDocument/2006/relationships" name="Floating Crusher" sheetId="6" r:id="R57f4efcda1a34677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10">
    <font>
      <sz val="11"/>
      <name val="Carlito"/>
    </font>
    <font>
      <b/>
      <sz val="11"/>
      <color rgb="FFFFFFFF"/>
      <name val="Carlito"/>
    </font>
    <font>
      <b/>
      <sz val="11"/>
      <color rgb="FF1F2937"/>
      <name val="Aptos"/>
    </font>
    <font>
      <sz val="11"/>
      <color rgb="FF1F2937"/>
      <name val="Aptos"/>
    </font>
    <font>
      <b/>
      <sz val="11"/>
      <color rgb="FFFFFFFF"/>
      <name val="Aptos"/>
    </font>
    <font>
      <b/>
      <sz val="16"/>
      <color rgb="FFFFFFFF"/>
      <name val="Carlito"/>
    </font>
    <font>
      <b/>
      <sz val="11"/>
      <color rgb="FF111827"/>
      <name val="Carlito"/>
    </font>
    <font>
      <b/>
      <sz val="11"/>
      <color rgb="FF17365D"/>
      <name val="Carlito"/>
    </font>
    <font>
      <b/>
      <sz val="11"/>
      <color rgb="FF38761D"/>
      <name val="Carlito"/>
    </font>
    <font>
      <b/>
      <sz val="11"/>
      <color rgb="FFC659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/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1" xfId="0" applyNumberFormat="1" applyFont="1" applyFill="1" applyBorder="1"/>
    <xf numFmtId="0" fontId="1" fillId="2" borderId="1" xfId="0" applyNumberFormat="1" applyFont="1" applyFill="1" applyBorder="1" applyAlignment="1">
      <alignment wrapText="1"/>
    </xf>
    <xf numFmtId="0" fontId="1" fillId="2" borderId="1" xfId="0" applyNumberFormat="1" applyFont="1" applyFill="1" applyBorder="1" applyAlignment="1">
      <alignment horizont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/>
    <xf numFmtId="0" fontId="0" fillId="0" borderId="1" xfId="0" applyNumberFormat="1" applyFont="1" applyFill="1" applyBorder="1" applyAlignment="1">
      <alignment vertical="center"/>
    </xf>
    <xf numFmtId="0" fontId="0" fillId="0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vertical="center"/>
    </xf>
    <xf numFmtId="0" fontId="4" fillId="2" borderId="1" xfId="0" applyNumberFormat="1" applyFont="1" applyFill="1" applyBorder="1" applyAlignment="1">
      <alignment horizontal="center" vertical="center" wrapText="1"/>
    </xf>
    <xf numFmtId="0" fontId="0" fillId="3" borderId="0" xfId="0" applyNumberFormat="1" applyFont="1" applyFill="1" applyBorder="1"/>
    <xf numFmtId="0" fontId="5" fillId="3" borderId="0" xfId="0" applyNumberFormat="1" applyFont="1" applyFill="1" applyBorder="1"/>
    <xf numFmtId="0" fontId="5" fillId="3" borderId="0" xfId="0" applyNumberFormat="1" applyFont="1" applyFill="1" applyBorder="1" applyAlignment="1">
      <alignment horizontal="center"/>
    </xf>
    <xf numFmtId="0" fontId="5" fillId="3" borderId="0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/>
    <xf numFmtId="0" fontId="6" fillId="4" borderId="0" xfId="0" applyNumberFormat="1" applyFont="1" applyFill="1" applyBorder="1"/>
    <xf numFmtId="0" fontId="6" fillId="4" borderId="1" xfId="0" applyNumberFormat="1" applyFont="1" applyFill="1" applyBorder="1"/>
    <xf numFmtId="0" fontId="6" fillId="4" borderId="1" xfId="0" applyNumberFormat="1" applyFont="1" applyFill="1" applyBorder="1" applyAlignment="1">
      <alignment wrapText="1"/>
    </xf>
    <xf numFmtId="0" fontId="6" fillId="4" borderId="1" xfId="0" applyNumberFormat="1" applyFont="1" applyFill="1" applyBorder="1" applyAlignment="1">
      <alignment horizont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0" fillId="5" borderId="1" xfId="0" applyNumberFormat="1" applyFont="1" applyFill="1" applyBorder="1" applyAlignment="1">
      <alignment vertical="center"/>
    </xf>
    <xf numFmtId="0" fontId="7" fillId="5" borderId="1" xfId="0" applyNumberFormat="1" applyFont="1" applyFill="1" applyBorder="1" applyAlignment="1">
      <alignment vertical="center"/>
    </xf>
    <xf numFmtId="0" fontId="7" fillId="5" borderId="1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0" fillId="6" borderId="1" xfId="0" applyNumberFormat="1" applyFont="1" applyFill="1" applyBorder="1" applyAlignment="1">
      <alignment vertical="center"/>
    </xf>
    <xf numFmtId="0" fontId="8" fillId="6" borderId="1" xfId="0" applyNumberFormat="1" applyFont="1" applyFill="1" applyBorder="1" applyAlignment="1">
      <alignment vertical="center"/>
    </xf>
    <xf numFmtId="0" fontId="0" fillId="7" borderId="1" xfId="0" applyNumberFormat="1" applyFont="1" applyFill="1" applyBorder="1" applyAlignment="1">
      <alignment vertical="center"/>
    </xf>
    <xf numFmtId="0" fontId="9" fillId="7" borderId="1" xfId="0" applyNumberFormat="1" applyFont="1" applyFill="1" applyBorder="1" applyAlignment="1">
      <alignment vertical="center"/>
    </xf>
    <xf numFmtId="0" fontId="0" fillId="8" borderId="1" xfId="0" applyNumberFormat="1" applyFont="1" applyFill="1" applyBorder="1" applyAlignment="1">
      <alignment vertical="center"/>
    </xf>
    <xf numFmtId="0" fontId="7" fillId="8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7" fillId="4" borderId="1" xfId="0" applyNumberFormat="1" applyFont="1" applyFill="1" applyBorder="1" applyAlignment="1">
      <alignment vertical="center"/>
    </xf>
    <xf numFmtId="0" fontId="7" fillId="4" borderId="1" xfId="0" applyNumberFormat="1" applyFont="1" applyFill="1" applyBorder="1" applyAlignment="1">
      <alignment vertical="center" wrapText="1"/>
    </xf>
    <xf numFmtId="0" fontId="0" fillId="7" borderId="0" xfId="0" applyNumberFormat="1" applyFont="1" applyFill="1" applyBorder="1"/>
    <xf numFmtId="0" fontId="6" fillId="7" borderId="0" xfId="0" applyNumberFormat="1" applyFont="1" applyFill="1" applyBorder="1"/>
    <xf numFmtId="0" fontId="6" fillId="7" borderId="1" xfId="0" applyNumberFormat="1" applyFont="1" applyFill="1" applyBorder="1"/>
    <xf numFmtId="0" fontId="6" fillId="7" borderId="1" xfId="0" applyNumberFormat="1" applyFont="1" applyFill="1" applyBorder="1" applyAlignment="1">
      <alignment wrapText="1"/>
    </xf>
    <xf numFmtId="0" fontId="6" fillId="7" borderId="1" xfId="0" applyNumberFormat="1" applyFont="1" applyFill="1" applyBorder="1" applyAlignment="1">
      <alignment horizontal="center" wrapText="1"/>
    </xf>
    <xf numFmtId="0" fontId="6" fillId="7" borderId="1" xfId="0" applyNumberFormat="1" applyFont="1" applyFill="1" applyBorder="1" applyAlignment="1">
      <alignment horizontal="center" vertical="center" wrapText="1"/>
    </xf>
    <xf numFmtId="0" fontId="0" fillId="8" borderId="0" xfId="0" applyNumberFormat="1" applyFont="1" applyFill="1" applyBorder="1"/>
    <xf numFmtId="0" fontId="7" fillId="8" borderId="0" xfId="0" applyNumberFormat="1" applyFont="1" applyFill="1" applyBorder="1"/>
    <xf numFmtId="0" fontId="7" fillId="8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/>
    <xf numFmtId="0" fontId="6" fillId="6" borderId="0" xfId="0" applyNumberFormat="1" applyFont="1" applyFill="1" applyBorder="1"/>
    <xf numFmtId="0" fontId="6" fillId="6" borderId="1" xfId="0" applyNumberFormat="1" applyFont="1" applyFill="1" applyBorder="1"/>
    <xf numFmtId="0" fontId="6" fillId="6" borderId="1" xfId="0" applyNumberFormat="1" applyFont="1" applyFill="1" applyBorder="1" applyAlignment="1">
      <alignment wrapText="1"/>
    </xf>
    <xf numFmtId="0" fontId="6" fillId="6" borderId="1" xfId="0" applyNumberFormat="1" applyFont="1" applyFill="1" applyBorder="1" applyAlignment="1">
      <alignment horizontal="center" wrapText="1"/>
    </xf>
    <xf numFmtId="0" fontId="6" fillId="6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horizontal="center" vertical="center" wrapText="1"/>
    </xf>
  </cellXfs>
  <cellStyles count="1">
    <cellStyle name="Normal" xfId="0"/>
  </cellStyles>
  <dxfs count="2">
    <dxf>
      <font>
        <b/>
        <color rgb="FF38761D"/>
      </font>
      <fill>
        <patternFill patternType="solid">
          <bgColor rgb="FFE2F0D9"/>
        </patternFill>
      </fill>
    </dxf>
    <dxf>
      <font>
        <b/>
        <color rgb="FFC65911"/>
      </font>
      <fill>
        <patternFill patternType="solid">
          <bgColor rgb="FFFCE4D6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d0f61f66a54d04" /><Relationship Type="http://schemas.openxmlformats.org/officeDocument/2006/relationships/theme" Target="/xl/theme/theme1.xml" Id="R158a32bb8e9c41a1" /><Relationship Type="http://schemas.openxmlformats.org/officeDocument/2006/relationships/sharedStrings" Target="/xl/sharedStrings.xml" Id="R75f785c639684d9f" /><Relationship Type="http://schemas.openxmlformats.org/officeDocument/2006/relationships/worksheet" Target="/xl/worksheets/sheet1.xml" Id="Rab5b8c6f188d420e" /><Relationship Type="http://schemas.openxmlformats.org/officeDocument/2006/relationships/worksheet" Target="/xl/worksheets/sheet2.xml" Id="Ra52c7e8a830f43f5" /><Relationship Type="http://schemas.openxmlformats.org/officeDocument/2006/relationships/worksheet" Target="/xl/worksheets/sheet3.xml" Id="R87098507dc594933" /><Relationship Type="http://schemas.openxmlformats.org/officeDocument/2006/relationships/worksheet" Target="/xl/worksheets/sheet4.xml" Id="R137c51fb47714a9d" /><Relationship Type="http://schemas.openxmlformats.org/officeDocument/2006/relationships/worksheet" Target="/xl/worksheets/sheet5.xml" Id="R8981f6f746aa4b01" /><Relationship Type="http://schemas.openxmlformats.org/officeDocument/2006/relationships/worksheet" Target="/xl/worksheets/sheet6.xml" Id="R57f4efcda1a34677" /></Relationships>
</file>

<file path=xl/tables/table1.xml><?xml version="1.0" encoding="utf-8"?>
<table xmlns="http://schemas.openxmlformats.org/spreadsheetml/2006/main" id="1" name="PlanTable" displayName="PlanTable" ref="A1:F18" headerRowCount="1" totalsRowCount="0" totalsRowShown="0">
  <tableColumns count="6">
    <tableColumn id="1" name="Machine ID"/>
    <tableColumn id="2" name="Sequence"/>
    <tableColumn id="3" name="Status"/>
    <tableColumn id="4" name="Product"/>
    <tableColumn id="5" name="Duration"/>
    <tableColumn id="6" name="Workers/Da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../tables/table1.xml" Id="Rb32344cffca4456a" /></Relationships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12" hidden="0" customWidth="1"/>
    <col min="3" max="3" width="14" hidden="0" customWidth="1"/>
    <col min="4" max="4" width="28" hidden="0" customWidth="1"/>
    <col min="5" max="5" width="14" hidden="0" customWidth="1"/>
    <col min="6" max="6" width="14" hidden="0" customWidth="1"/>
  </cols>
  <sheetData>
    <row r="1" ht="22" customHeight="1">
      <c r="A1" s="13" t="str">
        <v>Machine ID</v>
      </c>
      <c r="B1" s="13" t="str">
        <v>Sequence</v>
      </c>
      <c r="C1" s="13" t="str">
        <v>Status</v>
      </c>
      <c r="D1" s="13" t="str">
        <v>Product</v>
      </c>
      <c r="E1" s="13" t="str">
        <v>Duration</v>
      </c>
      <c r="F1" s="13" t="str">
        <v>Workers/Day</v>
      </c>
    </row>
    <row r="2" ht="22" customHeight="1">
      <c r="A2" s="11" t="str">
        <v>L-01</v>
      </c>
      <c r="B2" s="11" t="n">
        <v>1</v>
      </c>
      <c r="C2" s="11" t="str">
        <v>RUN</v>
      </c>
      <c r="D2" s="12" t="str">
        <v>HDPE 200 mm Pipe</v>
      </c>
      <c r="E2" s="11" t="n">
        <v>14</v>
      </c>
      <c r="F2" s="11" t="n">
        <v>3</v>
      </c>
    </row>
    <row r="3" ht="22" customHeight="1">
      <c r="A3" s="11" t="str">
        <v>L-02</v>
      </c>
      <c r="B3" s="11" t="n">
        <v>1</v>
      </c>
      <c r="C3" s="11" t="str">
        <v>RUN</v>
      </c>
      <c r="D3" s="12" t="str">
        <v>PPR Pipe</v>
      </c>
      <c r="E3" s="11" t="n">
        <v>14</v>
      </c>
      <c r="F3" s="11" t="n">
        <v>3</v>
      </c>
    </row>
    <row r="4" ht="22" customHeight="1">
      <c r="A4" s="11" t="str">
        <v>L-03</v>
      </c>
      <c r="B4" s="11" t="n">
        <v>1</v>
      </c>
      <c r="C4" s="11" t="str">
        <v>RUN</v>
      </c>
      <c r="D4" s="12" t="str">
        <v>HDPE Pipe</v>
      </c>
      <c r="E4" s="11" t="n">
        <v>14</v>
      </c>
      <c r="F4" s="11" t="n">
        <v>3</v>
      </c>
    </row>
    <row r="5" ht="22" customHeight="1">
      <c r="A5" s="11" t="str">
        <v>L-04</v>
      </c>
      <c r="B5" s="11" t="n">
        <v>1</v>
      </c>
      <c r="C5" s="11" t="str">
        <v>RUN</v>
      </c>
      <c r="D5" s="12" t="str">
        <v>HDPE Corrugated</v>
      </c>
      <c r="E5" s="11" t="n">
        <v>14</v>
      </c>
      <c r="F5" s="11" t="n">
        <v>3</v>
      </c>
    </row>
    <row r="6" ht="22" customHeight="1">
      <c r="A6" s="11" t="str">
        <v>L-05</v>
      </c>
      <c r="B6" s="11" t="n">
        <v>1</v>
      </c>
      <c r="C6" s="11" t="str">
        <v>RUN</v>
      </c>
      <c r="D6" s="12" t="str">
        <v>PPR Fittings</v>
      </c>
      <c r="E6" s="11" t="n">
        <v>14</v>
      </c>
      <c r="F6" s="11" t="n">
        <v>3</v>
      </c>
    </row>
    <row r="7" ht="22" customHeight="1">
      <c r="A7" s="11" t="str">
        <v>L-06</v>
      </c>
      <c r="B7" s="11" t="n">
        <v>1</v>
      </c>
      <c r="C7" s="11" t="str">
        <v>RUN</v>
      </c>
      <c r="D7" s="12" t="str">
        <v>PVC Duct Pipe</v>
      </c>
      <c r="E7" s="11" t="n">
        <v>14</v>
      </c>
      <c r="F7" s="11" t="n">
        <v>3</v>
      </c>
    </row>
    <row r="8" ht="22" customHeight="1">
      <c r="A8" s="11" t="str">
        <v>L-07</v>
      </c>
      <c r="B8" s="11" t="n">
        <v>1</v>
      </c>
      <c r="C8" s="11" t="str">
        <v>RUN</v>
      </c>
      <c r="D8" s="12" t="str">
        <v>PVC Sheeting</v>
      </c>
      <c r="E8" s="11" t="n">
        <v>14</v>
      </c>
      <c r="F8" s="11" t="n">
        <v>3</v>
      </c>
    </row>
    <row r="9" ht="22" customHeight="1">
      <c r="A9" s="11" t="str">
        <v>L-08</v>
      </c>
      <c r="B9" s="11" t="n">
        <v>1</v>
      </c>
      <c r="C9" s="11" t="str">
        <v>RUN</v>
      </c>
      <c r="D9" s="12" t="str">
        <v>PVC Pressure Pipe</v>
      </c>
      <c r="E9" s="11" t="n">
        <v>14</v>
      </c>
      <c r="F9" s="11" t="n">
        <v>3</v>
      </c>
    </row>
    <row r="10" ht="22" customHeight="1">
      <c r="A10" s="11" t="str">
        <v>L-09</v>
      </c>
      <c r="B10" s="11" t="n">
        <v>1</v>
      </c>
      <c r="C10" s="11" t="str">
        <v>RUN</v>
      </c>
      <c r="D10" s="12" t="str">
        <v>Sheeting Line 2</v>
      </c>
      <c r="E10" s="11" t="n">
        <v>14</v>
      </c>
      <c r="F10" s="11" t="n">
        <v>2</v>
      </c>
    </row>
    <row r="11" ht="22" customHeight="1">
      <c r="A11" s="11" t="str">
        <v>L-10</v>
      </c>
      <c r="B11" s="11" t="n">
        <v>1</v>
      </c>
      <c r="C11" s="11" t="str">
        <v>RUN</v>
      </c>
      <c r="D11" s="12" t="str">
        <v>Phase 1 - HDPE</v>
      </c>
      <c r="E11" s="11" t="n">
        <v>3</v>
      </c>
      <c r="F11" s="11" t="n">
        <v>3</v>
      </c>
    </row>
    <row r="12" ht="22" customHeight="1">
      <c r="A12" s="11" t="str">
        <v>L-10</v>
      </c>
      <c r="B12" s="11" t="n">
        <v>2</v>
      </c>
      <c r="C12" s="11" t="str">
        <v>RUN</v>
      </c>
      <c r="D12" s="12" t="str">
        <v>Phase 2 - HDPE</v>
      </c>
      <c r="E12" s="11" t="n">
        <v>3</v>
      </c>
      <c r="F12" s="11" t="n">
        <v>3</v>
      </c>
    </row>
    <row r="13" ht="22" customHeight="1">
      <c r="A13" s="11" t="str">
        <v>L-10</v>
      </c>
      <c r="B13" s="11" t="n">
        <v>3</v>
      </c>
      <c r="C13" s="11" t="str">
        <v>STOPPED</v>
      </c>
      <c r="D13" s="12" t="str">
        <v>Stopped</v>
      </c>
      <c r="E13" s="11" t="n">
        <v>3</v>
      </c>
      <c r="F13" s="11" t="n">
        <v>0</v>
      </c>
    </row>
    <row r="14" ht="22" customHeight="1">
      <c r="A14" s="11" t="str">
        <v>L-10</v>
      </c>
      <c r="B14" s="11" t="n">
        <v>4</v>
      </c>
      <c r="C14" s="11" t="str">
        <v>RUN</v>
      </c>
      <c r="D14" s="12" t="str">
        <v>Phase 4 - HDPE</v>
      </c>
      <c r="E14" s="11" t="n">
        <v>5</v>
      </c>
      <c r="F14" s="11" t="n">
        <v>2</v>
      </c>
    </row>
    <row r="15" ht="22" customHeight="1">
      <c r="A15" s="11" t="str">
        <v>L-11</v>
      </c>
      <c r="B15" s="11" t="n">
        <v>1</v>
      </c>
      <c r="C15" s="11" t="str">
        <v>RUN</v>
      </c>
      <c r="D15" s="12" t="str">
        <v>Phase 1 - PVC</v>
      </c>
      <c r="E15" s="11" t="n">
        <v>3</v>
      </c>
      <c r="F15" s="11" t="n">
        <v>2</v>
      </c>
    </row>
    <row r="16" ht="22" customHeight="1">
      <c r="A16" s="11" t="str">
        <v>L-11</v>
      </c>
      <c r="B16" s="11" t="n">
        <v>2</v>
      </c>
      <c r="C16" s="11" t="str">
        <v>STOPPED</v>
      </c>
      <c r="D16" s="12" t="str">
        <v>Stopped</v>
      </c>
      <c r="E16" s="11" t="n">
        <v>6</v>
      </c>
      <c r="F16" s="11" t="n">
        <v>0</v>
      </c>
    </row>
    <row r="17" ht="22" customHeight="1">
      <c r="A17" s="11" t="str">
        <v>L-11</v>
      </c>
      <c r="B17" s="11" t="n">
        <v>3</v>
      </c>
      <c r="C17" s="11" t="str">
        <v>RUN</v>
      </c>
      <c r="D17" s="12" t="str">
        <v>Phase 4 - PVC</v>
      </c>
      <c r="E17" s="11" t="n">
        <v>5</v>
      </c>
      <c r="F17" s="11" t="n">
        <v>2</v>
      </c>
    </row>
    <row r="18" ht="22" customHeight="1">
      <c r="A18" s="11" t="str">
        <v>L-12</v>
      </c>
      <c r="B18" s="11" t="n">
        <v>1</v>
      </c>
      <c r="C18" s="11" t="str">
        <v>STOPPED</v>
      </c>
      <c r="D18" s="12" t="str">
        <v>Stopped</v>
      </c>
      <c r="E18" s="11" t="n">
        <v>14</v>
      </c>
      <c r="F18" s="11" t="n">
        <v>0</v>
      </c>
    </row>
  </sheetData>
  <conditionalFormatting sqref="C2:C200">
    <cfRule type="containsText" dxfId="0" priority="1" operator="containsText" text="RUN"/>
    <cfRule type="containsText" dxfId="1" priority="2" operator="containsText" text="STOPPED"/>
  </conditionalFormatting>
  <dataValidations count="5">
    <dataValidation type="whole" operator="between" sqref="B2:B200">
      <formula1>1</formula1>
      <formula2>99</formula2>
    </dataValidation>
    <dataValidation type="list" sqref="C2:C200">
      <formula1>"RUN,STOPPED"</formula1>
    </dataValidation>
    <dataValidation type="whole" operator="between" sqref="E2:E200">
      <formula1>1</formula1>
      <formula2>14</formula2>
    </dataValidation>
    <dataValidation type="whole" operator="between" sqref="F2:F200">
      <formula1>0</formula1>
      <formula2>99</formula2>
    </dataValidation>
    <dataValidation type="list" sqref="A2:A200">
      <formula1>'Lists'!$C$2:$C$14</formula1>
    </dataValidation>
  </dataValidations>
  <pageMargins left="0.7" right="0.7" top="0.75" bottom="0.75" header="0.3" footer="0.3"/>
  <tableParts count="1">
    <tablePart xmlns:r="http://schemas.openxmlformats.org/officeDocument/2006/relationships" r:id="Rb32344cffca4456a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6" hidden="0" customWidth="1"/>
    <col min="2" max="2" width="72" hidden="0" customWidth="1"/>
    <col min="3" max="3" width="46" hidden="0" customWidth="1"/>
  </cols>
  <sheetData>
    <row r="1" ht="30" customHeight="1">
      <c r="A1" s="17" t="str">
        <v>PWP 14-Day Plan — Official Import Template</v>
      </c>
      <c r="B1" s="17"/>
      <c r="C1" s="17"/>
    </row>
    <row r="3">
      <c r="A3" s="23" t="str">
        <v>Section</v>
      </c>
      <c r="B3" s="23" t="str">
        <v>Rule</v>
      </c>
      <c r="C3" s="23" t="str">
        <v>What to do</v>
      </c>
    </row>
    <row r="4" ht="38" customHeight="1">
      <c r="A4" s="26" t="str">
        <v>Plan sheet</v>
      </c>
      <c r="B4" s="27" t="str">
        <v>Keep exactly six columns: Machine ID, Sequence, Status, Product, Duration, Workers/Day.</v>
      </c>
      <c r="C4" s="27" t="str">
        <v>Enter production machines only.</v>
      </c>
    </row>
    <row r="5" ht="38" customHeight="1">
      <c r="A5" s="26" t="str">
        <v>Crusher L-13</v>
      </c>
      <c r="B5" s="27" t="str">
        <v>Do not add Crusher rows to Plan. L-13 remains in Lists as machine metadata.</v>
      </c>
      <c r="C5" s="27" t="str">
        <v>Control Crusher from the Mandatory / Floating switch in the web app.</v>
      </c>
    </row>
    <row r="6" ht="38" customHeight="1">
      <c r="A6" s="26" t="str">
        <v>Floating mode — default</v>
      </c>
      <c r="B6" s="27" t="str">
        <v>Production has priority. Crusher uses only actual surplus and never creates an Agency request or prevents a release.</v>
      </c>
      <c r="C6" s="27" t="str">
        <v>Use for normal operation.</v>
      </c>
    </row>
    <row r="7" ht="38" customHeight="1">
      <c r="A7" s="26" t="str">
        <v>Mandatory mode — exception</v>
      </c>
      <c r="B7" s="27" t="str">
        <v>At least two Crusher workers are reserved daily. The mode may request or retain Agency workers.</v>
      </c>
      <c r="C7" s="27" t="str">
        <v>Use only when Crusher work is operationally important.</v>
      </c>
    </row>
    <row r="8" ht="38" customHeight="1">
      <c r="A8" s="26" t="str">
        <v>Mode period</v>
      </c>
      <c r="B8" s="27" t="str">
        <v>The current switch applies to the complete 14-day plan.</v>
      </c>
      <c r="C8" s="27" t="str">
        <v>Select the mode before Redistribute / Save / Publish.</v>
      </c>
    </row>
    <row r="9" ht="38" customHeight="1">
      <c r="A9" s="26" t="str">
        <v>Sequence</v>
      </c>
      <c r="B9" s="27" t="str">
        <v>Start at 1 for each machine with no gaps or duplicates.</v>
      </c>
      <c r="C9" s="27" t="str">
        <v>Use 1, 2, 3... independently for each Machine ID.</v>
      </c>
    </row>
    <row r="10" ht="38" customHeight="1">
      <c r="A10" s="26" t="str">
        <v>Status</v>
      </c>
      <c r="B10" s="27" t="str">
        <v>RUN or STOPPED only.</v>
      </c>
      <c r="C10" s="27" t="str">
        <v>RUN requires Product; STOPPED requires Workers/Day = 0.</v>
      </c>
    </row>
    <row r="11" ht="38" customHeight="1">
      <c r="A11" s="26" t="str">
        <v>Duration</v>
      </c>
      <c r="B11" s="27" t="str">
        <v>Whole number from 1 to 14; total per machine cannot exceed 14 days.</v>
      </c>
      <c r="C11" s="27" t="str">
        <v>Complete all 14 days or finish missing days in the app.</v>
      </c>
    </row>
    <row r="12" ht="38" customHeight="1">
      <c r="A12" s="26" t="str">
        <v>New machines</v>
      </c>
      <c r="B12" s="27" t="str">
        <v>A valid new Machine ID can be added automatically during import.</v>
      </c>
      <c r="C12" s="27" t="str">
        <v>Add its name and department to Lists for correct metadata.</v>
      </c>
    </row>
    <row r="13" ht="38" customHeight="1">
      <c r="A13" s="26" t="str">
        <v>Import scope</v>
      </c>
      <c r="B13" s="27" t="str">
        <v>Import updates Draft Plan only. It never publishes automatically.</v>
      </c>
      <c r="C13" s="27" t="str">
        <v>Review preview, choose Update or Replace, then press Save.</v>
      </c>
    </row>
    <row r="14" ht="38" customHeight="1">
      <c r="A14" s="26" t="str">
        <v>Publish</v>
      </c>
      <c r="B14" s="27" t="str">
        <v>Redistribute recalculates Agency actions after manual changes.</v>
      </c>
      <c r="C14" s="27" t="str">
        <v>Redistribute, review actions, then Publish for HR.</v>
      </c>
    </row>
    <row r="15" ht="38" customHeight="1">
      <c r="A15" s="26" t="str">
        <v>Notice period</v>
      </c>
      <c r="B15" s="27" t="str">
        <v>The example uses three days for both request and release.</v>
      </c>
      <c r="C15" s="27" t="str">
        <v>Notice on day 1 becomes effective on day 4.</v>
      </c>
    </row>
    <row r="16" ht="38" customHeight="1">
      <c r="A16" s="26" t="str">
        <v>Last three days</v>
      </c>
      <c r="B16" s="27" t="str">
        <v>No release is recommended when the following plan is unknown.</v>
      </c>
      <c r="C16" s="27" t="str">
        <v>Keep the configured protection rule in the app.</v>
      </c>
    </row>
  </sheetData>
  <mergeCells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6" hidden="0" customWidth="1"/>
    <col min="2" max="2" width="4" hidden="0" customWidth="1"/>
    <col min="3" max="3" width="16" hidden="0" customWidth="1"/>
    <col min="4" max="4" width="22" hidden="0" customWidth="1"/>
    <col min="5" max="5" width="18" hidden="0" customWidth="1"/>
  </cols>
  <sheetData>
    <row r="1">
      <c r="A1" s="6" t="str">
        <v>Status</v>
      </c>
      <c r="B1" t="str"/>
      <c r="C1" s="6" t="str">
        <v>Machine ID</v>
      </c>
      <c r="D1" s="6" t="str">
        <v>Machine Name</v>
      </c>
      <c r="E1" s="6" t="str">
        <v>Department</v>
      </c>
    </row>
    <row r="2">
      <c r="A2" s="29" t="str">
        <v>RUN</v>
      </c>
      <c r="B2" t="str"/>
      <c r="C2" s="8" t="str">
        <v>L-01</v>
      </c>
      <c r="D2" s="8" t="str">
        <v>Kabra 90</v>
      </c>
      <c r="E2" s="8" t="str">
        <v>HDPE</v>
      </c>
    </row>
    <row r="3">
      <c r="A3" s="31" t="str">
        <v>STOPPED</v>
      </c>
      <c r="B3" t="str"/>
      <c r="C3" s="8" t="str">
        <v>L-02</v>
      </c>
      <c r="D3" s="8" t="str">
        <v>Beier 2</v>
      </c>
      <c r="E3" s="8" t="str">
        <v>PPR</v>
      </c>
    </row>
    <row r="4">
      <c r="A4" t="str"/>
      <c r="B4" t="str"/>
      <c r="C4" s="8" t="str">
        <v>L-03</v>
      </c>
      <c r="D4" s="8" t="str">
        <v>Wend 2</v>
      </c>
      <c r="E4" s="8" t="str">
        <v>HDPE</v>
      </c>
    </row>
    <row r="5">
      <c r="A5" t="str"/>
      <c r="B5" t="str"/>
      <c r="C5" s="8" t="str">
        <v>L-04</v>
      </c>
      <c r="D5" s="8" t="str">
        <v>Wend 1</v>
      </c>
      <c r="E5" s="8" t="str">
        <v>HDPE</v>
      </c>
    </row>
    <row r="6">
      <c r="A6" t="str"/>
      <c r="B6" t="str"/>
      <c r="C6" s="8" t="str">
        <v>L-05</v>
      </c>
      <c r="D6" s="8" t="str">
        <v>Beier 1</v>
      </c>
      <c r="E6" s="8" t="str">
        <v>PPR</v>
      </c>
    </row>
    <row r="7">
      <c r="A7" t="str"/>
      <c r="B7" t="str"/>
      <c r="C7" s="8" t="str">
        <v>L-06</v>
      </c>
      <c r="D7" s="8" t="str">
        <v>Duct 1</v>
      </c>
      <c r="E7" s="8" t="str">
        <v>PVC</v>
      </c>
    </row>
    <row r="8">
      <c r="A8" t="str"/>
      <c r="B8" t="str"/>
      <c r="C8" s="8" t="str">
        <v>L-07</v>
      </c>
      <c r="D8" s="8" t="str">
        <v>Sheeting 1</v>
      </c>
      <c r="E8" s="8" t="str">
        <v>Sheeting</v>
      </c>
    </row>
    <row r="9">
      <c r="A9" t="str"/>
      <c r="B9" t="str"/>
      <c r="C9" s="8" t="str">
        <v>L-08</v>
      </c>
      <c r="D9" s="8" t="str">
        <v>Duct 2</v>
      </c>
      <c r="E9" s="8" t="str">
        <v>PVC</v>
      </c>
    </row>
    <row r="10">
      <c r="A10" t="str"/>
      <c r="B10" t="str"/>
      <c r="C10" s="8" t="str">
        <v>L-09</v>
      </c>
      <c r="D10" s="8" t="str">
        <v>Sheeting 2</v>
      </c>
      <c r="E10" s="8" t="str">
        <v>Sheeting</v>
      </c>
    </row>
    <row r="11">
      <c r="A11" t="str"/>
      <c r="B11" t="str"/>
      <c r="C11" s="8" t="str">
        <v>L-10</v>
      </c>
      <c r="D11" s="8" t="str">
        <v>COD</v>
      </c>
      <c r="E11" s="8" t="str">
        <v>HDPE</v>
      </c>
    </row>
    <row r="12">
      <c r="A12" t="str"/>
      <c r="B12" t="str"/>
      <c r="C12" s="8" t="str">
        <v>L-11</v>
      </c>
      <c r="D12" s="8" t="str">
        <v>Tongda</v>
      </c>
      <c r="E12" s="8" t="str">
        <v>PVC</v>
      </c>
    </row>
    <row r="13">
      <c r="A13" t="str"/>
      <c r="B13" t="str"/>
      <c r="C13" s="8" t="str">
        <v>L-12</v>
      </c>
      <c r="D13" s="8" t="str">
        <v>DWC</v>
      </c>
      <c r="E13" s="8" t="str">
        <v>DWC</v>
      </c>
    </row>
    <row r="14">
      <c r="A14" t="str"/>
      <c r="B14" t="str"/>
      <c r="C14" s="33" t="str">
        <v>L-13</v>
      </c>
      <c r="D14" s="33" t="str">
        <v>Crusher</v>
      </c>
      <c r="E14" s="33" t="str">
        <v>Crusher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8" hidden="0" customWidth="1"/>
    <col min="2" max="2" width="15" hidden="0" customWidth="1"/>
    <col min="3" max="3" width="19" hidden="0" customWidth="1"/>
    <col min="4" max="4" width="18" hidden="0" customWidth="1"/>
    <col min="5" max="5" width="18" hidden="0" customWidth="1"/>
    <col min="6" max="6" width="18" hidden="0" customWidth="1"/>
    <col min="7" max="7" width="19" hidden="0" customWidth="1"/>
    <col min="8" max="8" width="19" hidden="0" customWidth="1"/>
    <col min="9" max="9" width="18" hidden="0" customWidth="1"/>
    <col min="10" max="10" width="18" hidden="0" customWidth="1"/>
    <col min="11" max="11" width="18" hidden="0" customWidth="1"/>
    <col min="12" max="12" width="19" hidden="0" customWidth="1"/>
    <col min="13" max="13" width="20" hidden="0" customWidth="1"/>
  </cols>
  <sheetData>
    <row r="1" ht="30" customHeight="1">
      <c r="A1" s="17" t="str">
        <v>Mandatory vs Floating Crusher — Same 14-Day Production Plan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3">
      <c r="A3" s="46" t="str">
        <v>Floating is the normal mode. Mandatory is an exceptional decision when Crusher work must be guaranteed, even if Agency workers must be requested or retained.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</row>
    <row r="4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</row>
    <row r="6" ht="48" customHeight="1">
      <c r="A6" s="42" t="str">
        <v>Day</v>
      </c>
      <c r="B6" s="42" t="str">
        <v>Production Need</v>
      </c>
      <c r="C6" s="42" t="str">
        <v>Agency On Site — Mandatory</v>
      </c>
      <c r="D6" s="42" t="str">
        <v>Crusher Workers — Mandatory</v>
      </c>
      <c r="E6" s="42" t="str">
        <v>Crusher Status — Mandatory</v>
      </c>
      <c r="F6" s="42" t="str">
        <v>Decision — Mandatory</v>
      </c>
      <c r="G6" s="42" t="str">
        <v>Level After Action — Mandatory</v>
      </c>
      <c r="H6" s="52" t="str">
        <v>Agency On Site — Floating</v>
      </c>
      <c r="I6" s="52" t="str">
        <v>Crusher Workers — Floating</v>
      </c>
      <c r="J6" s="52" t="str">
        <v>Crusher Status — Floating</v>
      </c>
      <c r="K6" s="52" t="str">
        <v>Decision — Floating</v>
      </c>
      <c r="L6" s="52" t="str">
        <v>Level After Action — Floating</v>
      </c>
      <c r="M6" s="23" t="str">
        <v>Extra Workers Retained by Mandatory Mode</v>
      </c>
    </row>
    <row r="7" ht="25" customHeight="1">
      <c r="A7" s="53" t="n">
        <f>'Mandatory Crusher'!A10</f>
        <v>1</v>
      </c>
      <c r="B7" s="53" t="n">
        <f>'Mandatory Crusher'!B10</f>
        <v>31</v>
      </c>
      <c r="C7" s="53" t="n">
        <f>'Mandatory Crusher'!E10</f>
        <v>14</v>
      </c>
      <c r="D7" s="53" t="n">
        <f>'Mandatory Crusher'!F10</f>
        <v>2</v>
      </c>
      <c r="E7" s="53" t="str">
        <f>'Mandatory Crusher'!G10</f>
        <v>RUNNING</v>
      </c>
      <c r="F7" s="53" t="str">
        <f>'Mandatory Crusher'!I10</f>
        <v>Notify Release</v>
      </c>
      <c r="G7" s="53" t="n">
        <f>'Mandatory Crusher'!L10</f>
        <v>11</v>
      </c>
      <c r="H7" s="53" t="n">
        <f>'Floating Crusher'!E10</f>
        <v>14</v>
      </c>
      <c r="I7" s="53" t="n">
        <f>'Floating Crusher'!F10</f>
        <v>2</v>
      </c>
      <c r="J7" s="53" t="str">
        <f>'Floating Crusher'!G10</f>
        <v>RUNNING</v>
      </c>
      <c r="K7" s="53" t="str">
        <f>'Floating Crusher'!I10</f>
        <v>Notify Release</v>
      </c>
      <c r="L7" s="53" t="n">
        <f>'Floating Crusher'!L10</f>
        <v>9</v>
      </c>
      <c r="M7" s="53" t="n">
        <f>C7-H7</f>
        <v>0</v>
      </c>
    </row>
    <row r="8" ht="25" customHeight="1">
      <c r="A8" s="53" t="n">
        <f>'Mandatory Crusher'!A11</f>
        <v>2</v>
      </c>
      <c r="B8" s="53" t="n">
        <f>'Mandatory Crusher'!B11</f>
        <v>31</v>
      </c>
      <c r="C8" s="53" t="n">
        <f>'Mandatory Crusher'!E11</f>
        <v>14</v>
      </c>
      <c r="D8" s="53" t="n">
        <f>'Mandatory Crusher'!F11</f>
        <v>2</v>
      </c>
      <c r="E8" s="53" t="str">
        <f>'Mandatory Crusher'!G11</f>
        <v>RUNNING</v>
      </c>
      <c r="F8" s="53" t="str">
        <f>'Mandatory Crusher'!I11</f>
        <v>No Action</v>
      </c>
      <c r="G8" s="53" t="n">
        <f>'Mandatory Crusher'!L11</f>
        <v>14</v>
      </c>
      <c r="H8" s="53" t="n">
        <f>'Floating Crusher'!E11</f>
        <v>14</v>
      </c>
      <c r="I8" s="53" t="n">
        <f>'Floating Crusher'!F11</f>
        <v>2</v>
      </c>
      <c r="J8" s="53" t="str">
        <f>'Floating Crusher'!G11</f>
        <v>RUNNING</v>
      </c>
      <c r="K8" s="53" t="str">
        <f>'Floating Crusher'!I11</f>
        <v>No Action</v>
      </c>
      <c r="L8" s="53" t="n">
        <f>'Floating Crusher'!L11</f>
        <v>14</v>
      </c>
      <c r="M8" s="53" t="n">
        <f>C8-H8</f>
        <v>0</v>
      </c>
    </row>
    <row r="9" ht="25" customHeight="1">
      <c r="A9" s="53" t="n">
        <f>'Mandatory Crusher'!A12</f>
        <v>3</v>
      </c>
      <c r="B9" s="53" t="n">
        <f>'Mandatory Crusher'!B12</f>
        <v>31</v>
      </c>
      <c r="C9" s="53" t="n">
        <f>'Mandatory Crusher'!E12</f>
        <v>14</v>
      </c>
      <c r="D9" s="53" t="n">
        <f>'Mandatory Crusher'!F12</f>
        <v>2</v>
      </c>
      <c r="E9" s="53" t="str">
        <f>'Mandatory Crusher'!G12</f>
        <v>RUNNING</v>
      </c>
      <c r="F9" s="53" t="str">
        <f>'Mandatory Crusher'!I12</f>
        <v>No Action</v>
      </c>
      <c r="G9" s="53" t="n">
        <f>'Mandatory Crusher'!L12</f>
        <v>14</v>
      </c>
      <c r="H9" s="53" t="n">
        <f>'Floating Crusher'!E12</f>
        <v>14</v>
      </c>
      <c r="I9" s="53" t="n">
        <f>'Floating Crusher'!F12</f>
        <v>2</v>
      </c>
      <c r="J9" s="53" t="str">
        <f>'Floating Crusher'!G12</f>
        <v>RUNNING</v>
      </c>
      <c r="K9" s="53" t="str">
        <f>'Floating Crusher'!I12</f>
        <v>No Action</v>
      </c>
      <c r="L9" s="53" t="n">
        <f>'Floating Crusher'!L12</f>
        <v>14</v>
      </c>
      <c r="M9" s="53" t="n">
        <f>C9-H9</f>
        <v>0</v>
      </c>
    </row>
    <row r="10" ht="25" customHeight="1">
      <c r="A10" s="53" t="n">
        <f>'Mandatory Crusher'!A13</f>
        <v>4</v>
      </c>
      <c r="B10" s="53" t="n">
        <f>'Mandatory Crusher'!B13</f>
        <v>29</v>
      </c>
      <c r="C10" s="53" t="n">
        <f>'Mandatory Crusher'!E13</f>
        <v>11</v>
      </c>
      <c r="D10" s="53" t="n">
        <f>'Mandatory Crusher'!F13</f>
        <v>2</v>
      </c>
      <c r="E10" s="53" t="str">
        <f>'Mandatory Crusher'!G13</f>
        <v>RUNNING</v>
      </c>
      <c r="F10" s="53" t="str">
        <f>'Mandatory Crusher'!I13</f>
        <v>Notify Release</v>
      </c>
      <c r="G10" s="53" t="n">
        <f>'Mandatory Crusher'!L13</f>
        <v>8</v>
      </c>
      <c r="H10" s="53" t="n">
        <f>'Floating Crusher'!E13</f>
        <v>9</v>
      </c>
      <c r="I10" s="53" t="n">
        <f>'Floating Crusher'!F13</f>
        <v>0</v>
      </c>
      <c r="J10" s="53" t="str">
        <f>'Floating Crusher'!G13</f>
        <v>STOPPED</v>
      </c>
      <c r="K10" s="53" t="str">
        <f>'Floating Crusher'!I13</f>
        <v>Notify Release</v>
      </c>
      <c r="L10" s="53" t="n">
        <f>'Floating Crusher'!L13</f>
        <v>6</v>
      </c>
      <c r="M10" s="53" t="n">
        <f>C10-H10</f>
        <v>2</v>
      </c>
    </row>
    <row r="11" ht="25" customHeight="1">
      <c r="A11" s="53" t="n">
        <f>'Mandatory Crusher'!A14</f>
        <v>5</v>
      </c>
      <c r="B11" s="53" t="n">
        <f>'Mandatory Crusher'!B14</f>
        <v>29</v>
      </c>
      <c r="C11" s="53" t="n">
        <f>'Mandatory Crusher'!E14</f>
        <v>11</v>
      </c>
      <c r="D11" s="53" t="n">
        <f>'Mandatory Crusher'!F14</f>
        <v>2</v>
      </c>
      <c r="E11" s="53" t="str">
        <f>'Mandatory Crusher'!G14</f>
        <v>RUNNING</v>
      </c>
      <c r="F11" s="53" t="str">
        <f>'Mandatory Crusher'!I14</f>
        <v>No Action</v>
      </c>
      <c r="G11" s="53" t="n">
        <f>'Mandatory Crusher'!L14</f>
        <v>11</v>
      </c>
      <c r="H11" s="53" t="n">
        <f>'Floating Crusher'!E14</f>
        <v>9</v>
      </c>
      <c r="I11" s="53" t="n">
        <f>'Floating Crusher'!F14</f>
        <v>0</v>
      </c>
      <c r="J11" s="53" t="str">
        <f>'Floating Crusher'!G14</f>
        <v>STOPPED</v>
      </c>
      <c r="K11" s="53" t="str">
        <f>'Floating Crusher'!I14</f>
        <v>No Action</v>
      </c>
      <c r="L11" s="53" t="n">
        <f>'Floating Crusher'!L14</f>
        <v>9</v>
      </c>
      <c r="M11" s="53" t="n">
        <f>C11-H11</f>
        <v>2</v>
      </c>
    </row>
    <row r="12" ht="25" customHeight="1">
      <c r="A12" s="53" t="n">
        <f>'Mandatory Crusher'!A15</f>
        <v>6</v>
      </c>
      <c r="B12" s="53" t="n">
        <f>'Mandatory Crusher'!B15</f>
        <v>29</v>
      </c>
      <c r="C12" s="53" t="n">
        <f>'Mandatory Crusher'!E15</f>
        <v>11</v>
      </c>
      <c r="D12" s="53" t="n">
        <f>'Mandatory Crusher'!F15</f>
        <v>2</v>
      </c>
      <c r="E12" s="53" t="str">
        <f>'Mandatory Crusher'!G15</f>
        <v>RUNNING</v>
      </c>
      <c r="F12" s="53" t="str">
        <f>'Mandatory Crusher'!I15</f>
        <v>No Action</v>
      </c>
      <c r="G12" s="53" t="n">
        <f>'Mandatory Crusher'!L15</f>
        <v>11</v>
      </c>
      <c r="H12" s="53" t="n">
        <f>'Floating Crusher'!E15</f>
        <v>9</v>
      </c>
      <c r="I12" s="53" t="n">
        <f>'Floating Crusher'!F15</f>
        <v>0</v>
      </c>
      <c r="J12" s="53" t="str">
        <f>'Floating Crusher'!G15</f>
        <v>STOPPED</v>
      </c>
      <c r="K12" s="53" t="str">
        <f>'Floating Crusher'!I15</f>
        <v>No Action</v>
      </c>
      <c r="L12" s="53" t="n">
        <f>'Floating Crusher'!L15</f>
        <v>9</v>
      </c>
      <c r="M12" s="53" t="n">
        <f>C12-H12</f>
        <v>2</v>
      </c>
    </row>
    <row r="13" ht="25" customHeight="1">
      <c r="A13" s="53" t="n">
        <f>'Mandatory Crusher'!A16</f>
        <v>7</v>
      </c>
      <c r="B13" s="53" t="n">
        <f>'Mandatory Crusher'!B16</f>
        <v>26</v>
      </c>
      <c r="C13" s="53" t="n">
        <f>'Mandatory Crusher'!E16</f>
        <v>8</v>
      </c>
      <c r="D13" s="53" t="n">
        <f>'Mandatory Crusher'!F16</f>
        <v>2</v>
      </c>
      <c r="E13" s="53" t="str">
        <f>'Mandatory Crusher'!G16</f>
        <v>RUNNING</v>
      </c>
      <c r="F13" s="53" t="str">
        <f>'Mandatory Crusher'!I16</f>
        <v>Notify Request</v>
      </c>
      <c r="G13" s="53" t="n">
        <f>'Mandatory Crusher'!L16</f>
        <v>12</v>
      </c>
      <c r="H13" s="53" t="n">
        <f>'Floating Crusher'!E16</f>
        <v>6</v>
      </c>
      <c r="I13" s="53" t="n">
        <f>'Floating Crusher'!F16</f>
        <v>0</v>
      </c>
      <c r="J13" s="53" t="str">
        <f>'Floating Crusher'!G16</f>
        <v>STOPPED</v>
      </c>
      <c r="K13" s="53" t="str">
        <f>'Floating Crusher'!I16</f>
        <v>Notify Request</v>
      </c>
      <c r="L13" s="53" t="n">
        <f>'Floating Crusher'!L16</f>
        <v>10</v>
      </c>
      <c r="M13" s="53" t="n">
        <f>C13-H13</f>
        <v>2</v>
      </c>
    </row>
    <row r="14" ht="25" customHeight="1">
      <c r="A14" s="53" t="n">
        <f>'Mandatory Crusher'!A17</f>
        <v>8</v>
      </c>
      <c r="B14" s="53" t="n">
        <f>'Mandatory Crusher'!B17</f>
        <v>26</v>
      </c>
      <c r="C14" s="53" t="n">
        <f>'Mandatory Crusher'!E17</f>
        <v>8</v>
      </c>
      <c r="D14" s="53" t="n">
        <f>'Mandatory Crusher'!F17</f>
        <v>2</v>
      </c>
      <c r="E14" s="53" t="str">
        <f>'Mandatory Crusher'!G17</f>
        <v>RUNNING</v>
      </c>
      <c r="F14" s="53" t="str">
        <f>'Mandatory Crusher'!I17</f>
        <v>No Action</v>
      </c>
      <c r="G14" s="53" t="n">
        <f>'Mandatory Crusher'!L17</f>
        <v>8</v>
      </c>
      <c r="H14" s="53" t="n">
        <f>'Floating Crusher'!E17</f>
        <v>6</v>
      </c>
      <c r="I14" s="53" t="n">
        <f>'Floating Crusher'!F17</f>
        <v>0</v>
      </c>
      <c r="J14" s="53" t="str">
        <f>'Floating Crusher'!G17</f>
        <v>STOPPED</v>
      </c>
      <c r="K14" s="53" t="str">
        <f>'Floating Crusher'!I17</f>
        <v>No Action</v>
      </c>
      <c r="L14" s="53" t="n">
        <f>'Floating Crusher'!L17</f>
        <v>6</v>
      </c>
      <c r="M14" s="53" t="n">
        <f>C14-H14</f>
        <v>2</v>
      </c>
    </row>
    <row r="15" ht="25" customHeight="1">
      <c r="A15" s="53" t="n">
        <f>'Mandatory Crusher'!A18</f>
        <v>9</v>
      </c>
      <c r="B15" s="53" t="n">
        <f>'Mandatory Crusher'!B18</f>
        <v>26</v>
      </c>
      <c r="C15" s="53" t="n">
        <f>'Mandatory Crusher'!E18</f>
        <v>8</v>
      </c>
      <c r="D15" s="53" t="n">
        <f>'Mandatory Crusher'!F18</f>
        <v>2</v>
      </c>
      <c r="E15" s="53" t="str">
        <f>'Mandatory Crusher'!G18</f>
        <v>RUNNING</v>
      </c>
      <c r="F15" s="53" t="str">
        <f>'Mandatory Crusher'!I18</f>
        <v>No Action</v>
      </c>
      <c r="G15" s="53" t="n">
        <f>'Mandatory Crusher'!L18</f>
        <v>8</v>
      </c>
      <c r="H15" s="53" t="n">
        <f>'Floating Crusher'!E18</f>
        <v>6</v>
      </c>
      <c r="I15" s="53" t="n">
        <f>'Floating Crusher'!F18</f>
        <v>0</v>
      </c>
      <c r="J15" s="53" t="str">
        <f>'Floating Crusher'!G18</f>
        <v>STOPPED</v>
      </c>
      <c r="K15" s="53" t="str">
        <f>'Floating Crusher'!I18</f>
        <v>No Action</v>
      </c>
      <c r="L15" s="53" t="n">
        <f>'Floating Crusher'!L18</f>
        <v>6</v>
      </c>
      <c r="M15" s="53" t="n">
        <f>C15-H15</f>
        <v>2</v>
      </c>
    </row>
    <row r="16" ht="25" customHeight="1">
      <c r="A16" s="53" t="n">
        <f>'Mandatory Crusher'!A19</f>
        <v>10</v>
      </c>
      <c r="B16" s="53" t="n">
        <f>'Mandatory Crusher'!B19</f>
        <v>30</v>
      </c>
      <c r="C16" s="53" t="n">
        <f>'Mandatory Crusher'!E19</f>
        <v>12</v>
      </c>
      <c r="D16" s="53" t="n">
        <f>'Mandatory Crusher'!F19</f>
        <v>2</v>
      </c>
      <c r="E16" s="53" t="str">
        <f>'Mandatory Crusher'!G19</f>
        <v>RUNNING</v>
      </c>
      <c r="F16" s="53" t="str">
        <f>'Mandatory Crusher'!I19</f>
        <v>No Action</v>
      </c>
      <c r="G16" s="53" t="n">
        <f>'Mandatory Crusher'!L19</f>
        <v>12</v>
      </c>
      <c r="H16" s="53" t="n">
        <f>'Floating Crusher'!E19</f>
        <v>10</v>
      </c>
      <c r="I16" s="53" t="n">
        <f>'Floating Crusher'!F19</f>
        <v>0</v>
      </c>
      <c r="J16" s="53" t="str">
        <f>'Floating Crusher'!G19</f>
        <v>STOPPED</v>
      </c>
      <c r="K16" s="53" t="str">
        <f>'Floating Crusher'!I19</f>
        <v>No Action</v>
      </c>
      <c r="L16" s="53" t="n">
        <f>'Floating Crusher'!L19</f>
        <v>10</v>
      </c>
      <c r="M16" s="53" t="n">
        <f>C16-H16</f>
        <v>2</v>
      </c>
    </row>
    <row r="17" ht="25" customHeight="1">
      <c r="A17" s="53" t="n">
        <f>'Mandatory Crusher'!A20</f>
        <v>11</v>
      </c>
      <c r="B17" s="53" t="n">
        <f>'Mandatory Crusher'!B20</f>
        <v>30</v>
      </c>
      <c r="C17" s="53" t="n">
        <f>'Mandatory Crusher'!E20</f>
        <v>12</v>
      </c>
      <c r="D17" s="53" t="n">
        <f>'Mandatory Crusher'!F20</f>
        <v>2</v>
      </c>
      <c r="E17" s="53" t="str">
        <f>'Mandatory Crusher'!G20</f>
        <v>RUNNING</v>
      </c>
      <c r="F17" s="53" t="str">
        <f>'Mandatory Crusher'!I20</f>
        <v>No Action</v>
      </c>
      <c r="G17" s="53" t="n">
        <f>'Mandatory Crusher'!L20</f>
        <v>12</v>
      </c>
      <c r="H17" s="53" t="n">
        <f>'Floating Crusher'!E20</f>
        <v>10</v>
      </c>
      <c r="I17" s="53" t="n">
        <f>'Floating Crusher'!F20</f>
        <v>0</v>
      </c>
      <c r="J17" s="53" t="str">
        <f>'Floating Crusher'!G20</f>
        <v>STOPPED</v>
      </c>
      <c r="K17" s="53" t="str">
        <f>'Floating Crusher'!I20</f>
        <v>No Action</v>
      </c>
      <c r="L17" s="53" t="n">
        <f>'Floating Crusher'!L20</f>
        <v>10</v>
      </c>
      <c r="M17" s="53" t="n">
        <f>C17-H17</f>
        <v>2</v>
      </c>
    </row>
    <row r="18" ht="25" customHeight="1">
      <c r="A18" s="53" t="n">
        <f>'Mandatory Crusher'!A21</f>
        <v>12</v>
      </c>
      <c r="B18" s="53" t="n">
        <f>'Mandatory Crusher'!B21</f>
        <v>30</v>
      </c>
      <c r="C18" s="53" t="n">
        <f>'Mandatory Crusher'!E21</f>
        <v>12</v>
      </c>
      <c r="D18" s="53" t="n">
        <f>'Mandatory Crusher'!F21</f>
        <v>2</v>
      </c>
      <c r="E18" s="53" t="str">
        <f>'Mandatory Crusher'!G21</f>
        <v>RUNNING</v>
      </c>
      <c r="F18" s="53" t="str">
        <f>'Mandatory Crusher'!I21</f>
        <v>No Action</v>
      </c>
      <c r="G18" s="53" t="n">
        <f>'Mandatory Crusher'!L21</f>
        <v>12</v>
      </c>
      <c r="H18" s="53" t="n">
        <f>'Floating Crusher'!E21</f>
        <v>10</v>
      </c>
      <c r="I18" s="53" t="n">
        <f>'Floating Crusher'!F21</f>
        <v>0</v>
      </c>
      <c r="J18" s="53" t="str">
        <f>'Floating Crusher'!G21</f>
        <v>STOPPED</v>
      </c>
      <c r="K18" s="53" t="str">
        <f>'Floating Crusher'!I21</f>
        <v>No Action</v>
      </c>
      <c r="L18" s="53" t="n">
        <f>'Floating Crusher'!L21</f>
        <v>10</v>
      </c>
      <c r="M18" s="53" t="n">
        <f>C18-H18</f>
        <v>2</v>
      </c>
    </row>
    <row r="19" ht="25" customHeight="1">
      <c r="A19" s="53" t="n">
        <f>'Mandatory Crusher'!A22</f>
        <v>13</v>
      </c>
      <c r="B19" s="53" t="n">
        <f>'Mandatory Crusher'!B22</f>
        <v>30</v>
      </c>
      <c r="C19" s="53" t="n">
        <f>'Mandatory Crusher'!E22</f>
        <v>12</v>
      </c>
      <c r="D19" s="53" t="n">
        <f>'Mandatory Crusher'!F22</f>
        <v>2</v>
      </c>
      <c r="E19" s="53" t="str">
        <f>'Mandatory Crusher'!G22</f>
        <v>RUNNING</v>
      </c>
      <c r="F19" s="53" t="str">
        <f>'Mandatory Crusher'!I22</f>
        <v>No Action</v>
      </c>
      <c r="G19" s="53" t="n">
        <f>'Mandatory Crusher'!L22</f>
        <v>12</v>
      </c>
      <c r="H19" s="53" t="n">
        <f>'Floating Crusher'!E22</f>
        <v>10</v>
      </c>
      <c r="I19" s="53" t="n">
        <f>'Floating Crusher'!F22</f>
        <v>0</v>
      </c>
      <c r="J19" s="53" t="str">
        <f>'Floating Crusher'!G22</f>
        <v>STOPPED</v>
      </c>
      <c r="K19" s="53" t="str">
        <f>'Floating Crusher'!I22</f>
        <v>No Action</v>
      </c>
      <c r="L19" s="53" t="n">
        <f>'Floating Crusher'!L22</f>
        <v>10</v>
      </c>
      <c r="M19" s="53" t="n">
        <f>C19-H19</f>
        <v>2</v>
      </c>
    </row>
    <row r="20" ht="25" customHeight="1">
      <c r="A20" s="53" t="n">
        <f>'Mandatory Crusher'!A23</f>
        <v>14</v>
      </c>
      <c r="B20" s="53" t="n">
        <f>'Mandatory Crusher'!B23</f>
        <v>30</v>
      </c>
      <c r="C20" s="53" t="n">
        <f>'Mandatory Crusher'!E23</f>
        <v>12</v>
      </c>
      <c r="D20" s="53" t="n">
        <f>'Mandatory Crusher'!F23</f>
        <v>2</v>
      </c>
      <c r="E20" s="53" t="str">
        <f>'Mandatory Crusher'!G23</f>
        <v>RUNNING</v>
      </c>
      <c r="F20" s="53" t="str">
        <f>'Mandatory Crusher'!I23</f>
        <v>No Action</v>
      </c>
      <c r="G20" s="53" t="n">
        <f>'Mandatory Crusher'!L23</f>
        <v>12</v>
      </c>
      <c r="H20" s="53" t="n">
        <f>'Floating Crusher'!E23</f>
        <v>10</v>
      </c>
      <c r="I20" s="53" t="n">
        <f>'Floating Crusher'!F23</f>
        <v>0</v>
      </c>
      <c r="J20" s="53" t="str">
        <f>'Floating Crusher'!G23</f>
        <v>STOPPED</v>
      </c>
      <c r="K20" s="53" t="str">
        <f>'Floating Crusher'!I23</f>
        <v>No Action</v>
      </c>
      <c r="L20" s="53" t="n">
        <f>'Floating Crusher'!L23</f>
        <v>10</v>
      </c>
      <c r="M20" s="53" t="n">
        <f>C20-H20</f>
        <v>2</v>
      </c>
    </row>
  </sheetData>
  <mergeCells>
    <mergeCell ref="A1:M1"/>
    <mergeCell ref="A3:M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8" hidden="0" customWidth="1"/>
    <col min="2" max="2" width="15" hidden="0" customWidth="1"/>
    <col min="3" max="3" width="15" hidden="0" customWidth="1"/>
    <col min="4" max="4" width="18" hidden="0" customWidth="1"/>
    <col min="5" max="5" width="18" hidden="0" customWidth="1"/>
    <col min="6" max="6" width="20" hidden="0" customWidth="1"/>
    <col min="7" max="7" width="16" hidden="0" customWidth="1"/>
    <col min="8" max="8" width="17" hidden="0" customWidth="1"/>
    <col min="9" max="9" width="16" hidden="0" customWidth="1"/>
    <col min="10" max="10" width="15" hidden="0" customWidth="1"/>
    <col min="11" max="11" width="13" hidden="0" customWidth="1"/>
    <col min="12" max="12" width="18" hidden="0" customWidth="1"/>
    <col min="13" max="13" width="48" hidden="0" customWidth="1"/>
    <col min="14" max="14" width="20" hidden="0" customWidth="1"/>
  </cols>
  <sheetData>
    <row r="1" ht="30" customHeight="1">
      <c r="A1" s="17" t="str">
        <v>Scenario 1: Mandatory Crusher (Exceptional)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3">
      <c r="A3" s="36" t="str">
        <v>Company Workers</v>
      </c>
      <c r="B3" s="27" t="n">
        <v>20</v>
      </c>
    </row>
    <row r="4">
      <c r="A4" s="36" t="str">
        <v>Starting Agency Workers</v>
      </c>
      <c r="B4" s="27" t="n">
        <v>14</v>
      </c>
    </row>
    <row r="5">
      <c r="A5" s="36" t="str">
        <v>Notice Period (days)</v>
      </c>
      <c r="B5" s="27" t="n">
        <v>3</v>
      </c>
    </row>
    <row r="6">
      <c r="A6" s="36" t="str">
        <v>Crusher Workers</v>
      </c>
      <c r="B6" s="27" t="n">
        <v>2</v>
      </c>
    </row>
    <row r="7">
      <c r="A7" s="36" t="str">
        <v>Crusher Rule</v>
      </c>
      <c r="B7" s="27" t="str">
        <v>At least two workers reserved every day</v>
      </c>
    </row>
    <row r="9" ht="42" customHeight="1">
      <c r="A9" s="42" t="str">
        <v>Day</v>
      </c>
      <c r="B9" s="42" t="str">
        <v>Production Need</v>
      </c>
      <c r="C9" s="42" t="str">
        <v>Company Workers</v>
      </c>
      <c r="D9" s="42" t="str">
        <v>Agency for Production</v>
      </c>
      <c r="E9" s="42" t="str">
        <v>Actual Agency Workers</v>
      </c>
      <c r="F9" s="42" t="str">
        <v>Workers Sent to Crusher</v>
      </c>
      <c r="G9" s="42" t="str">
        <v>Crusher Status</v>
      </c>
      <c r="H9" s="42" t="str">
        <v>Idle Agency Workers</v>
      </c>
      <c r="I9" s="42" t="str">
        <v>Notice Today</v>
      </c>
      <c r="J9" s="42" t="str">
        <v>Action Quantity</v>
      </c>
      <c r="K9" s="42" t="str">
        <v>Effective Day</v>
      </c>
      <c r="L9" s="42" t="str">
        <v>Agency After Action</v>
      </c>
      <c r="M9" s="42" t="str">
        <v>Decision Reason</v>
      </c>
      <c r="N9" s="42" t="str">
        <v>Total Agency Required</v>
      </c>
    </row>
    <row r="10" ht="28" customHeight="1">
      <c r="A10" s="9" t="n">
        <v>1</v>
      </c>
      <c r="B10" s="9" t="n">
        <v>31</v>
      </c>
      <c r="C10" s="9" t="n">
        <v>20</v>
      </c>
      <c r="D10" s="9" t="n">
        <f>MAX(0,B10-C10)</f>
        <v>11</v>
      </c>
      <c r="E10" s="9" t="n">
        <v>14</v>
      </c>
      <c r="F10" s="9" t="n">
        <f>$B$6</f>
        <v>2</v>
      </c>
      <c r="G10" s="9" t="str">
        <f>IF(F10&gt;0,"RUNNING","STOPPED")</f>
        <v>RUNNING</v>
      </c>
      <c r="H10" s="9" t="n">
        <f>MAX(0,E10-D10-F10)</f>
        <v>1</v>
      </c>
      <c r="I10" s="9" t="str">
        <v>Notify Release</v>
      </c>
      <c r="J10" s="9" t="n">
        <v>3</v>
      </c>
      <c r="K10" s="9" t="n">
        <v>4</v>
      </c>
      <c r="L10" s="9" t="n">
        <v>11</v>
      </c>
      <c r="M10" s="27" t="str">
        <v>Keep enough for production and mandatory Crusher on days 4–6</v>
      </c>
      <c r="N10" s="8" t="n">
        <f>D10+$B$6</f>
        <v>13</v>
      </c>
    </row>
    <row r="11" ht="28" customHeight="1">
      <c r="A11" s="9" t="n">
        <v>2</v>
      </c>
      <c r="B11" s="9" t="n">
        <v>31</v>
      </c>
      <c r="C11" s="9" t="n">
        <v>20</v>
      </c>
      <c r="D11" s="9" t="n">
        <f>MAX(0,B11-C11)</f>
        <v>11</v>
      </c>
      <c r="E11" s="9" t="n">
        <v>14</v>
      </c>
      <c r="F11" s="9" t="n">
        <f>$B$6</f>
        <v>2</v>
      </c>
      <c r="G11" s="9" t="str">
        <f>IF(F11&gt;0,"RUNNING","STOPPED")</f>
        <v>RUNNING</v>
      </c>
      <c r="H11" s="9" t="n">
        <f>MAX(0,E11-D11-F11)</f>
        <v>1</v>
      </c>
      <c r="I11" s="9" t="str">
        <v>No Action</v>
      </c>
      <c r="J11" s="9" t="n">
        <v>0</v>
      </c>
      <c r="K11" s="9" t="str">
        <v>—</v>
      </c>
      <c r="L11" s="9" t="n">
        <v>14</v>
      </c>
      <c r="M11" s="27" t="str">
        <v>No new decision today</v>
      </c>
      <c r="N11" s="8" t="n">
        <f>D11+$B$6</f>
        <v>13</v>
      </c>
    </row>
    <row r="12" ht="28" customHeight="1">
      <c r="A12" s="9" t="n">
        <v>3</v>
      </c>
      <c r="B12" s="9" t="n">
        <v>31</v>
      </c>
      <c r="C12" s="9" t="n">
        <v>20</v>
      </c>
      <c r="D12" s="9" t="n">
        <f>MAX(0,B12-C12)</f>
        <v>11</v>
      </c>
      <c r="E12" s="9" t="n">
        <v>14</v>
      </c>
      <c r="F12" s="9" t="n">
        <f>$B$6</f>
        <v>2</v>
      </c>
      <c r="G12" s="9" t="str">
        <f>IF(F12&gt;0,"RUNNING","STOPPED")</f>
        <v>RUNNING</v>
      </c>
      <c r="H12" s="9" t="n">
        <f>MAX(0,E12-D12-F12)</f>
        <v>1</v>
      </c>
      <c r="I12" s="9" t="str">
        <v>No Action</v>
      </c>
      <c r="J12" s="9" t="n">
        <v>0</v>
      </c>
      <c r="K12" s="9" t="str">
        <v>—</v>
      </c>
      <c r="L12" s="9" t="n">
        <v>14</v>
      </c>
      <c r="M12" s="27" t="str">
        <v>No new decision today</v>
      </c>
      <c r="N12" s="8" t="n">
        <f>D12+$B$6</f>
        <v>13</v>
      </c>
    </row>
    <row r="13" ht="28" customHeight="1">
      <c r="A13" s="9" t="n">
        <v>4</v>
      </c>
      <c r="B13" s="9" t="n">
        <v>29</v>
      </c>
      <c r="C13" s="9" t="n">
        <v>20</v>
      </c>
      <c r="D13" s="9" t="n">
        <f>MAX(0,B13-C13)</f>
        <v>9</v>
      </c>
      <c r="E13" s="9" t="n">
        <v>11</v>
      </c>
      <c r="F13" s="9" t="n">
        <f>$B$6</f>
        <v>2</v>
      </c>
      <c r="G13" s="9" t="str">
        <f>IF(F13&gt;0,"RUNNING","STOPPED")</f>
        <v>RUNNING</v>
      </c>
      <c r="H13" s="9" t="n">
        <f>MAX(0,E13-D13-F13)</f>
        <v>0</v>
      </c>
      <c r="I13" s="9" t="str">
        <v>Notify Release</v>
      </c>
      <c r="J13" s="9" t="n">
        <v>3</v>
      </c>
      <c r="K13" s="9" t="n">
        <v>7</v>
      </c>
      <c r="L13" s="9" t="n">
        <v>8</v>
      </c>
      <c r="M13" s="27" t="str">
        <v>Lower need still covers production and mandatory Crusher on days 7–9</v>
      </c>
      <c r="N13" s="8" t="n">
        <f>D13+$B$6</f>
        <v>11</v>
      </c>
    </row>
    <row r="14" ht="28" customHeight="1">
      <c r="A14" s="9" t="n">
        <v>5</v>
      </c>
      <c r="B14" s="9" t="n">
        <v>29</v>
      </c>
      <c r="C14" s="9" t="n">
        <v>20</v>
      </c>
      <c r="D14" s="9" t="n">
        <f>MAX(0,B14-C14)</f>
        <v>9</v>
      </c>
      <c r="E14" s="9" t="n">
        <v>11</v>
      </c>
      <c r="F14" s="9" t="n">
        <f>$B$6</f>
        <v>2</v>
      </c>
      <c r="G14" s="9" t="str">
        <f>IF(F14&gt;0,"RUNNING","STOPPED")</f>
        <v>RUNNING</v>
      </c>
      <c r="H14" s="9" t="n">
        <f>MAX(0,E14-D14-F14)</f>
        <v>0</v>
      </c>
      <c r="I14" s="9" t="str">
        <v>No Action</v>
      </c>
      <c r="J14" s="9" t="n">
        <v>0</v>
      </c>
      <c r="K14" s="9" t="str">
        <v>—</v>
      </c>
      <c r="L14" s="9" t="n">
        <v>11</v>
      </c>
      <c r="M14" s="27" t="str">
        <v>No new decision today</v>
      </c>
      <c r="N14" s="8" t="n">
        <f>D14+$B$6</f>
        <v>11</v>
      </c>
    </row>
    <row r="15" ht="28" customHeight="1">
      <c r="A15" s="9" t="n">
        <v>6</v>
      </c>
      <c r="B15" s="9" t="n">
        <v>29</v>
      </c>
      <c r="C15" s="9" t="n">
        <v>20</v>
      </c>
      <c r="D15" s="9" t="n">
        <f>MAX(0,B15-C15)</f>
        <v>9</v>
      </c>
      <c r="E15" s="9" t="n">
        <v>11</v>
      </c>
      <c r="F15" s="9" t="n">
        <f>$B$6</f>
        <v>2</v>
      </c>
      <c r="G15" s="9" t="str">
        <f>IF(F15&gt;0,"RUNNING","STOPPED")</f>
        <v>RUNNING</v>
      </c>
      <c r="H15" s="9" t="n">
        <f>MAX(0,E15-D15-F15)</f>
        <v>0</v>
      </c>
      <c r="I15" s="9" t="str">
        <v>No Action</v>
      </c>
      <c r="J15" s="9" t="n">
        <v>0</v>
      </c>
      <c r="K15" s="9" t="str">
        <v>—</v>
      </c>
      <c r="L15" s="9" t="n">
        <v>11</v>
      </c>
      <c r="M15" s="27" t="str">
        <v>No new decision today</v>
      </c>
      <c r="N15" s="8" t="n">
        <f>D15+$B$6</f>
        <v>11</v>
      </c>
    </row>
    <row r="16" ht="28" customHeight="1">
      <c r="A16" s="9" t="n">
        <v>7</v>
      </c>
      <c r="B16" s="9" t="n">
        <v>26</v>
      </c>
      <c r="C16" s="9" t="n">
        <v>20</v>
      </c>
      <c r="D16" s="9" t="n">
        <f>MAX(0,B16-C16)</f>
        <v>6</v>
      </c>
      <c r="E16" s="9" t="n">
        <v>8</v>
      </c>
      <c r="F16" s="9" t="n">
        <f>$B$6</f>
        <v>2</v>
      </c>
      <c r="G16" s="9" t="str">
        <f>IF(F16&gt;0,"RUNNING","STOPPED")</f>
        <v>RUNNING</v>
      </c>
      <c r="H16" s="9" t="n">
        <f>MAX(0,E16-D16-F16)</f>
        <v>0</v>
      </c>
      <c r="I16" s="9" t="str">
        <v>Notify Request</v>
      </c>
      <c r="J16" s="9" t="n">
        <v>4</v>
      </c>
      <c r="K16" s="9" t="n">
        <v>10</v>
      </c>
      <c r="L16" s="9" t="n">
        <v>12</v>
      </c>
      <c r="M16" s="27" t="str">
        <v>Request early for the production increase on day 10</v>
      </c>
      <c r="N16" s="8" t="n">
        <f>D16+$B$6</f>
        <v>8</v>
      </c>
    </row>
    <row r="17" ht="28" customHeight="1">
      <c r="A17" s="9" t="n">
        <v>8</v>
      </c>
      <c r="B17" s="9" t="n">
        <v>26</v>
      </c>
      <c r="C17" s="9" t="n">
        <v>20</v>
      </c>
      <c r="D17" s="9" t="n">
        <f>MAX(0,B17-C17)</f>
        <v>6</v>
      </c>
      <c r="E17" s="9" t="n">
        <v>8</v>
      </c>
      <c r="F17" s="9" t="n">
        <f>$B$6</f>
        <v>2</v>
      </c>
      <c r="G17" s="9" t="str">
        <f>IF(F17&gt;0,"RUNNING","STOPPED")</f>
        <v>RUNNING</v>
      </c>
      <c r="H17" s="9" t="n">
        <f>MAX(0,E17-D17-F17)</f>
        <v>0</v>
      </c>
      <c r="I17" s="9" t="str">
        <v>No Action</v>
      </c>
      <c r="J17" s="9" t="n">
        <v>0</v>
      </c>
      <c r="K17" s="9" t="str">
        <v>—</v>
      </c>
      <c r="L17" s="9" t="n">
        <v>8</v>
      </c>
      <c r="M17" s="27" t="str">
        <v>No new decision today</v>
      </c>
      <c r="N17" s="8" t="n">
        <f>D17+$B$6</f>
        <v>8</v>
      </c>
    </row>
    <row r="18" ht="28" customHeight="1">
      <c r="A18" s="9" t="n">
        <v>9</v>
      </c>
      <c r="B18" s="9" t="n">
        <v>26</v>
      </c>
      <c r="C18" s="9" t="n">
        <v>20</v>
      </c>
      <c r="D18" s="9" t="n">
        <f>MAX(0,B18-C18)</f>
        <v>6</v>
      </c>
      <c r="E18" s="9" t="n">
        <v>8</v>
      </c>
      <c r="F18" s="9" t="n">
        <f>$B$6</f>
        <v>2</v>
      </c>
      <c r="G18" s="9" t="str">
        <f>IF(F18&gt;0,"RUNNING","STOPPED")</f>
        <v>RUNNING</v>
      </c>
      <c r="H18" s="9" t="n">
        <f>MAX(0,E18-D18-F18)</f>
        <v>0</v>
      </c>
      <c r="I18" s="9" t="str">
        <v>No Action</v>
      </c>
      <c r="J18" s="9" t="n">
        <v>0</v>
      </c>
      <c r="K18" s="9" t="str">
        <v>—</v>
      </c>
      <c r="L18" s="9" t="n">
        <v>8</v>
      </c>
      <c r="M18" s="27" t="str">
        <v>No new decision today</v>
      </c>
      <c r="N18" s="8" t="n">
        <f>D18+$B$6</f>
        <v>8</v>
      </c>
    </row>
    <row r="19" ht="28" customHeight="1">
      <c r="A19" s="9" t="n">
        <v>10</v>
      </c>
      <c r="B19" s="9" t="n">
        <v>30</v>
      </c>
      <c r="C19" s="9" t="n">
        <v>20</v>
      </c>
      <c r="D19" s="9" t="n">
        <f>MAX(0,B19-C19)</f>
        <v>10</v>
      </c>
      <c r="E19" s="9" t="n">
        <v>12</v>
      </c>
      <c r="F19" s="9" t="n">
        <f>$B$6</f>
        <v>2</v>
      </c>
      <c r="G19" s="9" t="str">
        <f>IF(F19&gt;0,"RUNNING","STOPPED")</f>
        <v>RUNNING</v>
      </c>
      <c r="H19" s="9" t="n">
        <f>MAX(0,E19-D19-F19)</f>
        <v>0</v>
      </c>
      <c r="I19" s="9" t="str">
        <v>No Action</v>
      </c>
      <c r="J19" s="9" t="n">
        <v>0</v>
      </c>
      <c r="K19" s="9" t="str">
        <v>—</v>
      </c>
      <c r="L19" s="9" t="n">
        <v>12</v>
      </c>
      <c r="M19" s="27" t="str">
        <v>No new decision today</v>
      </c>
      <c r="N19" s="8" t="n">
        <f>D19+$B$6</f>
        <v>12</v>
      </c>
    </row>
    <row r="20" ht="28" customHeight="1">
      <c r="A20" s="9" t="n">
        <v>11</v>
      </c>
      <c r="B20" s="9" t="n">
        <v>30</v>
      </c>
      <c r="C20" s="9" t="n">
        <v>20</v>
      </c>
      <c r="D20" s="9" t="n">
        <f>MAX(0,B20-C20)</f>
        <v>10</v>
      </c>
      <c r="E20" s="9" t="n">
        <v>12</v>
      </c>
      <c r="F20" s="9" t="n">
        <f>$B$6</f>
        <v>2</v>
      </c>
      <c r="G20" s="9" t="str">
        <f>IF(F20&gt;0,"RUNNING","STOPPED")</f>
        <v>RUNNING</v>
      </c>
      <c r="H20" s="9" t="n">
        <f>MAX(0,E20-D20-F20)</f>
        <v>0</v>
      </c>
      <c r="I20" s="9" t="str">
        <v>No Action</v>
      </c>
      <c r="J20" s="9" t="n">
        <v>0</v>
      </c>
      <c r="K20" s="9" t="str">
        <v>—</v>
      </c>
      <c r="L20" s="9" t="n">
        <v>12</v>
      </c>
      <c r="M20" s="27" t="str">
        <v>No new decision today</v>
      </c>
      <c r="N20" s="8" t="n">
        <f>D20+$B$6</f>
        <v>12</v>
      </c>
    </row>
    <row r="21" ht="28" customHeight="1">
      <c r="A21" s="9" t="n">
        <v>12</v>
      </c>
      <c r="B21" s="9" t="n">
        <v>30</v>
      </c>
      <c r="C21" s="9" t="n">
        <v>20</v>
      </c>
      <c r="D21" s="9" t="n">
        <f>MAX(0,B21-C21)</f>
        <v>10</v>
      </c>
      <c r="E21" s="9" t="n">
        <v>12</v>
      </c>
      <c r="F21" s="9" t="n">
        <f>$B$6</f>
        <v>2</v>
      </c>
      <c r="G21" s="9" t="str">
        <f>IF(F21&gt;0,"RUNNING","STOPPED")</f>
        <v>RUNNING</v>
      </c>
      <c r="H21" s="9" t="n">
        <f>MAX(0,E21-D21-F21)</f>
        <v>0</v>
      </c>
      <c r="I21" s="9" t="str">
        <v>No Action</v>
      </c>
      <c r="J21" s="9" t="n">
        <v>0</v>
      </c>
      <c r="K21" s="9" t="str">
        <v>—</v>
      </c>
      <c r="L21" s="9" t="n">
        <v>12</v>
      </c>
      <c r="M21" s="27" t="str">
        <v>No new decision today</v>
      </c>
      <c r="N21" s="8" t="n">
        <f>D21+$B$6</f>
        <v>12</v>
      </c>
    </row>
    <row r="22" ht="28" customHeight="1">
      <c r="A22" s="9" t="n">
        <v>13</v>
      </c>
      <c r="B22" s="9" t="n">
        <v>30</v>
      </c>
      <c r="C22" s="9" t="n">
        <v>20</v>
      </c>
      <c r="D22" s="9" t="n">
        <f>MAX(0,B22-C22)</f>
        <v>10</v>
      </c>
      <c r="E22" s="9" t="n">
        <v>12</v>
      </c>
      <c r="F22" s="9" t="n">
        <f>$B$6</f>
        <v>2</v>
      </c>
      <c r="G22" s="9" t="str">
        <f>IF(F22&gt;0,"RUNNING","STOPPED")</f>
        <v>RUNNING</v>
      </c>
      <c r="H22" s="9" t="n">
        <f>MAX(0,E22-D22-F22)</f>
        <v>0</v>
      </c>
      <c r="I22" s="9" t="str">
        <v>No Action</v>
      </c>
      <c r="J22" s="9" t="n">
        <v>0</v>
      </c>
      <c r="K22" s="9" t="str">
        <v>—</v>
      </c>
      <c r="L22" s="9" t="n">
        <v>12</v>
      </c>
      <c r="M22" s="27" t="str">
        <v>No new decision today</v>
      </c>
      <c r="N22" s="8" t="n">
        <f>D22+$B$6</f>
        <v>12</v>
      </c>
    </row>
    <row r="23" ht="28" customHeight="1">
      <c r="A23" s="9" t="n">
        <v>14</v>
      </c>
      <c r="B23" s="9" t="n">
        <v>30</v>
      </c>
      <c r="C23" s="9" t="n">
        <v>20</v>
      </c>
      <c r="D23" s="9" t="n">
        <f>MAX(0,B23-C23)</f>
        <v>10</v>
      </c>
      <c r="E23" s="9" t="n">
        <v>12</v>
      </c>
      <c r="F23" s="9" t="n">
        <f>$B$6</f>
        <v>2</v>
      </c>
      <c r="G23" s="9" t="str">
        <f>IF(F23&gt;0,"RUNNING","STOPPED")</f>
        <v>RUNNING</v>
      </c>
      <c r="H23" s="9" t="n">
        <f>MAX(0,E23-D23-F23)</f>
        <v>0</v>
      </c>
      <c r="I23" s="9" t="str">
        <v>No Action</v>
      </c>
      <c r="J23" s="9" t="n">
        <v>0</v>
      </c>
      <c r="K23" s="9" t="str">
        <v>—</v>
      </c>
      <c r="L23" s="9" t="n">
        <v>12</v>
      </c>
      <c r="M23" s="27" t="str">
        <v>No new decision today</v>
      </c>
      <c r="N23" s="8" t="n">
        <f>D23+$B$6</f>
        <v>12</v>
      </c>
    </row>
    <row r="25" ht="34" customHeight="1">
      <c r="A25" s="46" t="str">
        <v>Exceptional Mandatory mode: Crusher workers are part of daily requirement and may cause a request or prevent a release.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</row>
  </sheetData>
  <mergeCells>
    <mergeCell ref="A1:N1"/>
    <mergeCell ref="A25:N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8" hidden="0" customWidth="1"/>
    <col min="2" max="2" width="15" hidden="0" customWidth="1"/>
    <col min="3" max="3" width="15" hidden="0" customWidth="1"/>
    <col min="4" max="4" width="18" hidden="0" customWidth="1"/>
    <col min="5" max="5" width="18" hidden="0" customWidth="1"/>
    <col min="6" max="6" width="20" hidden="0" customWidth="1"/>
    <col min="7" max="7" width="16" hidden="0" customWidth="1"/>
    <col min="8" max="8" width="17" hidden="0" customWidth="1"/>
    <col min="9" max="9" width="16" hidden="0" customWidth="1"/>
    <col min="10" max="10" width="15" hidden="0" customWidth="1"/>
    <col min="11" max="11" width="13" hidden="0" customWidth="1"/>
    <col min="12" max="12" width="18" hidden="0" customWidth="1"/>
    <col min="13" max="13" width="48" hidden="0" customWidth="1"/>
    <col min="14" max="14" width="20" hidden="0" customWidth="1"/>
  </cols>
  <sheetData>
    <row r="1" ht="30" customHeight="1">
      <c r="A1" s="17" t="str">
        <v>Scenario 2: Floating Crusher (Default)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3">
      <c r="A3" s="36" t="str">
        <v>Company Workers</v>
      </c>
      <c r="B3" s="27" t="n">
        <v>20</v>
      </c>
    </row>
    <row r="4">
      <c r="A4" s="36" t="str">
        <v>Starting Agency Workers</v>
      </c>
      <c r="B4" s="27" t="n">
        <v>14</v>
      </c>
    </row>
    <row r="5">
      <c r="A5" s="36" t="str">
        <v>Notice Period (days)</v>
      </c>
      <c r="B5" s="27" t="n">
        <v>3</v>
      </c>
    </row>
    <row r="6">
      <c r="A6" s="36" t="str">
        <v>Crusher Workers</v>
      </c>
      <c r="B6" s="27" t="n">
        <v>2</v>
      </c>
    </row>
    <row r="7">
      <c r="A7" s="36" t="str">
        <v>Crusher Rule</v>
      </c>
      <c r="B7" s="27" t="str">
        <v>Runs only from actual surplus</v>
      </c>
    </row>
    <row r="9" ht="42" customHeight="1">
      <c r="A9" s="52" t="str">
        <v>Day</v>
      </c>
      <c r="B9" s="52" t="str">
        <v>Production Need</v>
      </c>
      <c r="C9" s="52" t="str">
        <v>Company Workers</v>
      </c>
      <c r="D9" s="52" t="str">
        <v>Agency for Production</v>
      </c>
      <c r="E9" s="52" t="str">
        <v>Actual Agency Workers</v>
      </c>
      <c r="F9" s="52" t="str">
        <v>Workers Sent to Crusher</v>
      </c>
      <c r="G9" s="52" t="str">
        <v>Crusher Status</v>
      </c>
      <c r="H9" s="52" t="str">
        <v>Idle Agency Workers</v>
      </c>
      <c r="I9" s="52" t="str">
        <v>Notice Today</v>
      </c>
      <c r="J9" s="52" t="str">
        <v>Action Quantity</v>
      </c>
      <c r="K9" s="52" t="str">
        <v>Effective Day</v>
      </c>
      <c r="L9" s="52" t="str">
        <v>Agency After Action</v>
      </c>
      <c r="M9" s="52" t="str">
        <v>Decision Reason</v>
      </c>
      <c r="N9" s="52" t="str">
        <v>Total Agency Required</v>
      </c>
    </row>
    <row r="10" ht="28" customHeight="1">
      <c r="A10" s="9" t="n">
        <v>1</v>
      </c>
      <c r="B10" s="9" t="n">
        <v>31</v>
      </c>
      <c r="C10" s="9" t="n">
        <v>20</v>
      </c>
      <c r="D10" s="9" t="n">
        <f>MAX(0,B10-C10)</f>
        <v>11</v>
      </c>
      <c r="E10" s="9" t="n">
        <v>14</v>
      </c>
      <c r="F10" s="9" t="n">
        <f>MIN($B$6,MAX(0,E10-D10))</f>
        <v>2</v>
      </c>
      <c r="G10" s="9" t="str">
        <f>IF(F10&gt;0,"RUNNING","STOPPED")</f>
        <v>RUNNING</v>
      </c>
      <c r="H10" s="9" t="n">
        <f>MAX(0,E10-D10-F10)</f>
        <v>1</v>
      </c>
      <c r="I10" s="9" t="str">
        <v>Notify Release</v>
      </c>
      <c r="J10" s="9" t="n">
        <v>5</v>
      </c>
      <c r="K10" s="9" t="n">
        <v>4</v>
      </c>
      <c r="L10" s="9" t="n">
        <v>9</v>
      </c>
      <c r="M10" s="27" t="str">
        <v>Floating Crusher does not prevent release; keep 9 for production</v>
      </c>
      <c r="N10" s="8" t="n">
        <f>D10</f>
        <v>11</v>
      </c>
    </row>
    <row r="11" ht="28" customHeight="1">
      <c r="A11" s="9" t="n">
        <v>2</v>
      </c>
      <c r="B11" s="9" t="n">
        <v>31</v>
      </c>
      <c r="C11" s="9" t="n">
        <v>20</v>
      </c>
      <c r="D11" s="9" t="n">
        <f>MAX(0,B11-C11)</f>
        <v>11</v>
      </c>
      <c r="E11" s="9" t="n">
        <v>14</v>
      </c>
      <c r="F11" s="9" t="n">
        <f>MIN($B$6,MAX(0,E11-D11))</f>
        <v>2</v>
      </c>
      <c r="G11" s="9" t="str">
        <f>IF(F11&gt;0,"RUNNING","STOPPED")</f>
        <v>RUNNING</v>
      </c>
      <c r="H11" s="9" t="n">
        <f>MAX(0,E11-D11-F11)</f>
        <v>1</v>
      </c>
      <c r="I11" s="9" t="str">
        <v>No Action</v>
      </c>
      <c r="J11" s="9" t="n">
        <v>0</v>
      </c>
      <c r="K11" s="9" t="str">
        <v>—</v>
      </c>
      <c r="L11" s="9" t="n">
        <v>14</v>
      </c>
      <c r="M11" s="27" t="str">
        <v>No new decision today</v>
      </c>
      <c r="N11" s="8" t="n">
        <f>D11</f>
        <v>11</v>
      </c>
    </row>
    <row r="12" ht="28" customHeight="1">
      <c r="A12" s="9" t="n">
        <v>3</v>
      </c>
      <c r="B12" s="9" t="n">
        <v>31</v>
      </c>
      <c r="C12" s="9" t="n">
        <v>20</v>
      </c>
      <c r="D12" s="9" t="n">
        <f>MAX(0,B12-C12)</f>
        <v>11</v>
      </c>
      <c r="E12" s="9" t="n">
        <v>14</v>
      </c>
      <c r="F12" s="9" t="n">
        <f>MIN($B$6,MAX(0,E12-D12))</f>
        <v>2</v>
      </c>
      <c r="G12" s="9" t="str">
        <f>IF(F12&gt;0,"RUNNING","STOPPED")</f>
        <v>RUNNING</v>
      </c>
      <c r="H12" s="9" t="n">
        <f>MAX(0,E12-D12-F12)</f>
        <v>1</v>
      </c>
      <c r="I12" s="9" t="str">
        <v>No Action</v>
      </c>
      <c r="J12" s="9" t="n">
        <v>0</v>
      </c>
      <c r="K12" s="9" t="str">
        <v>—</v>
      </c>
      <c r="L12" s="9" t="n">
        <v>14</v>
      </c>
      <c r="M12" s="27" t="str">
        <v>No new decision today</v>
      </c>
      <c r="N12" s="8" t="n">
        <f>D12</f>
        <v>11</v>
      </c>
    </row>
    <row r="13" ht="28" customHeight="1">
      <c r="A13" s="9" t="n">
        <v>4</v>
      </c>
      <c r="B13" s="9" t="n">
        <v>29</v>
      </c>
      <c r="C13" s="9" t="n">
        <v>20</v>
      </c>
      <c r="D13" s="9" t="n">
        <f>MAX(0,B13-C13)</f>
        <v>9</v>
      </c>
      <c r="E13" s="9" t="n">
        <v>9</v>
      </c>
      <c r="F13" s="9" t="n">
        <f>MIN($B$6,MAX(0,E13-D13))</f>
        <v>0</v>
      </c>
      <c r="G13" s="9" t="str">
        <f>IF(F13&gt;0,"RUNNING","STOPPED")</f>
        <v>STOPPED</v>
      </c>
      <c r="H13" s="9" t="n">
        <f>MAX(0,E13-D13-F13)</f>
        <v>0</v>
      </c>
      <c r="I13" s="9" t="str">
        <v>Notify Release</v>
      </c>
      <c r="J13" s="9" t="n">
        <v>3</v>
      </c>
      <c r="K13" s="9" t="n">
        <v>7</v>
      </c>
      <c r="L13" s="9" t="n">
        <v>6</v>
      </c>
      <c r="M13" s="27" t="str">
        <v>Keep 6 for production on days 7–9</v>
      </c>
      <c r="N13" s="8" t="n">
        <f>D13</f>
        <v>9</v>
      </c>
    </row>
    <row r="14" ht="28" customHeight="1">
      <c r="A14" s="9" t="n">
        <v>5</v>
      </c>
      <c r="B14" s="9" t="n">
        <v>29</v>
      </c>
      <c r="C14" s="9" t="n">
        <v>20</v>
      </c>
      <c r="D14" s="9" t="n">
        <f>MAX(0,B14-C14)</f>
        <v>9</v>
      </c>
      <c r="E14" s="9" t="n">
        <v>9</v>
      </c>
      <c r="F14" s="9" t="n">
        <f>MIN($B$6,MAX(0,E14-D14))</f>
        <v>0</v>
      </c>
      <c r="G14" s="9" t="str">
        <f>IF(F14&gt;0,"RUNNING","STOPPED")</f>
        <v>STOPPED</v>
      </c>
      <c r="H14" s="9" t="n">
        <f>MAX(0,E14-D14-F14)</f>
        <v>0</v>
      </c>
      <c r="I14" s="9" t="str">
        <v>No Action</v>
      </c>
      <c r="J14" s="9" t="n">
        <v>0</v>
      </c>
      <c r="K14" s="9" t="str">
        <v>—</v>
      </c>
      <c r="L14" s="9" t="n">
        <v>9</v>
      </c>
      <c r="M14" s="27" t="str">
        <v>No new decision today</v>
      </c>
      <c r="N14" s="8" t="n">
        <f>D14</f>
        <v>9</v>
      </c>
    </row>
    <row r="15" ht="28" customHeight="1">
      <c r="A15" s="9" t="n">
        <v>6</v>
      </c>
      <c r="B15" s="9" t="n">
        <v>29</v>
      </c>
      <c r="C15" s="9" t="n">
        <v>20</v>
      </c>
      <c r="D15" s="9" t="n">
        <f>MAX(0,B15-C15)</f>
        <v>9</v>
      </c>
      <c r="E15" s="9" t="n">
        <v>9</v>
      </c>
      <c r="F15" s="9" t="n">
        <f>MIN($B$6,MAX(0,E15-D15))</f>
        <v>0</v>
      </c>
      <c r="G15" s="9" t="str">
        <f>IF(F15&gt;0,"RUNNING","STOPPED")</f>
        <v>STOPPED</v>
      </c>
      <c r="H15" s="9" t="n">
        <f>MAX(0,E15-D15-F15)</f>
        <v>0</v>
      </c>
      <c r="I15" s="9" t="str">
        <v>No Action</v>
      </c>
      <c r="J15" s="9" t="n">
        <v>0</v>
      </c>
      <c r="K15" s="9" t="str">
        <v>—</v>
      </c>
      <c r="L15" s="9" t="n">
        <v>9</v>
      </c>
      <c r="M15" s="27" t="str">
        <v>No new decision today</v>
      </c>
      <c r="N15" s="8" t="n">
        <f>D15</f>
        <v>9</v>
      </c>
    </row>
    <row r="16" ht="28" customHeight="1">
      <c r="A16" s="9" t="n">
        <v>7</v>
      </c>
      <c r="B16" s="9" t="n">
        <v>26</v>
      </c>
      <c r="C16" s="9" t="n">
        <v>20</v>
      </c>
      <c r="D16" s="9" t="n">
        <f>MAX(0,B16-C16)</f>
        <v>6</v>
      </c>
      <c r="E16" s="9" t="n">
        <v>6</v>
      </c>
      <c r="F16" s="9" t="n">
        <f>MIN($B$6,MAX(0,E16-D16))</f>
        <v>0</v>
      </c>
      <c r="G16" s="9" t="str">
        <f>IF(F16&gt;0,"RUNNING","STOPPED")</f>
        <v>STOPPED</v>
      </c>
      <c r="H16" s="9" t="n">
        <f>MAX(0,E16-D16-F16)</f>
        <v>0</v>
      </c>
      <c r="I16" s="9" t="str">
        <v>Notify Request</v>
      </c>
      <c r="J16" s="9" t="n">
        <v>4</v>
      </c>
      <c r="K16" s="9" t="n">
        <v>10</v>
      </c>
      <c r="L16" s="9" t="n">
        <v>10</v>
      </c>
      <c r="M16" s="27" t="str">
        <v>Request early for the production increase on day 10</v>
      </c>
      <c r="N16" s="8" t="n">
        <f>D16</f>
        <v>6</v>
      </c>
    </row>
    <row r="17" ht="28" customHeight="1">
      <c r="A17" s="9" t="n">
        <v>8</v>
      </c>
      <c r="B17" s="9" t="n">
        <v>26</v>
      </c>
      <c r="C17" s="9" t="n">
        <v>20</v>
      </c>
      <c r="D17" s="9" t="n">
        <f>MAX(0,B17-C17)</f>
        <v>6</v>
      </c>
      <c r="E17" s="9" t="n">
        <v>6</v>
      </c>
      <c r="F17" s="9" t="n">
        <f>MIN($B$6,MAX(0,E17-D17))</f>
        <v>0</v>
      </c>
      <c r="G17" s="9" t="str">
        <f>IF(F17&gt;0,"RUNNING","STOPPED")</f>
        <v>STOPPED</v>
      </c>
      <c r="H17" s="9" t="n">
        <f>MAX(0,E17-D17-F17)</f>
        <v>0</v>
      </c>
      <c r="I17" s="9" t="str">
        <v>No Action</v>
      </c>
      <c r="J17" s="9" t="n">
        <v>0</v>
      </c>
      <c r="K17" s="9" t="str">
        <v>—</v>
      </c>
      <c r="L17" s="9" t="n">
        <v>6</v>
      </c>
      <c r="M17" s="27" t="str">
        <v>No new decision today</v>
      </c>
      <c r="N17" s="8" t="n">
        <f>D17</f>
        <v>6</v>
      </c>
    </row>
    <row r="18" ht="28" customHeight="1">
      <c r="A18" s="9" t="n">
        <v>9</v>
      </c>
      <c r="B18" s="9" t="n">
        <v>26</v>
      </c>
      <c r="C18" s="9" t="n">
        <v>20</v>
      </c>
      <c r="D18" s="9" t="n">
        <f>MAX(0,B18-C18)</f>
        <v>6</v>
      </c>
      <c r="E18" s="9" t="n">
        <v>6</v>
      </c>
      <c r="F18" s="9" t="n">
        <f>MIN($B$6,MAX(0,E18-D18))</f>
        <v>0</v>
      </c>
      <c r="G18" s="9" t="str">
        <f>IF(F18&gt;0,"RUNNING","STOPPED")</f>
        <v>STOPPED</v>
      </c>
      <c r="H18" s="9" t="n">
        <f>MAX(0,E18-D18-F18)</f>
        <v>0</v>
      </c>
      <c r="I18" s="9" t="str">
        <v>No Action</v>
      </c>
      <c r="J18" s="9" t="n">
        <v>0</v>
      </c>
      <c r="K18" s="9" t="str">
        <v>—</v>
      </c>
      <c r="L18" s="9" t="n">
        <v>6</v>
      </c>
      <c r="M18" s="27" t="str">
        <v>No new decision today</v>
      </c>
      <c r="N18" s="8" t="n">
        <f>D18</f>
        <v>6</v>
      </c>
    </row>
    <row r="19" ht="28" customHeight="1">
      <c r="A19" s="9" t="n">
        <v>10</v>
      </c>
      <c r="B19" s="9" t="n">
        <v>30</v>
      </c>
      <c r="C19" s="9" t="n">
        <v>20</v>
      </c>
      <c r="D19" s="9" t="n">
        <f>MAX(0,B19-C19)</f>
        <v>10</v>
      </c>
      <c r="E19" s="9" t="n">
        <v>10</v>
      </c>
      <c r="F19" s="9" t="n">
        <f>MIN($B$6,MAX(0,E19-D19))</f>
        <v>0</v>
      </c>
      <c r="G19" s="9" t="str">
        <f>IF(F19&gt;0,"RUNNING","STOPPED")</f>
        <v>STOPPED</v>
      </c>
      <c r="H19" s="9" t="n">
        <f>MAX(0,E19-D19-F19)</f>
        <v>0</v>
      </c>
      <c r="I19" s="9" t="str">
        <v>No Action</v>
      </c>
      <c r="J19" s="9" t="n">
        <v>0</v>
      </c>
      <c r="K19" s="9" t="str">
        <v>—</v>
      </c>
      <c r="L19" s="9" t="n">
        <v>10</v>
      </c>
      <c r="M19" s="27" t="str">
        <v>No new decision today</v>
      </c>
      <c r="N19" s="8" t="n">
        <f>D19</f>
        <v>10</v>
      </c>
    </row>
    <row r="20" ht="28" customHeight="1">
      <c r="A20" s="9" t="n">
        <v>11</v>
      </c>
      <c r="B20" s="9" t="n">
        <v>30</v>
      </c>
      <c r="C20" s="9" t="n">
        <v>20</v>
      </c>
      <c r="D20" s="9" t="n">
        <f>MAX(0,B20-C20)</f>
        <v>10</v>
      </c>
      <c r="E20" s="9" t="n">
        <v>10</v>
      </c>
      <c r="F20" s="9" t="n">
        <f>MIN($B$6,MAX(0,E20-D20))</f>
        <v>0</v>
      </c>
      <c r="G20" s="9" t="str">
        <f>IF(F20&gt;0,"RUNNING","STOPPED")</f>
        <v>STOPPED</v>
      </c>
      <c r="H20" s="9" t="n">
        <f>MAX(0,E20-D20-F20)</f>
        <v>0</v>
      </c>
      <c r="I20" s="9" t="str">
        <v>No Action</v>
      </c>
      <c r="J20" s="9" t="n">
        <v>0</v>
      </c>
      <c r="K20" s="9" t="str">
        <v>—</v>
      </c>
      <c r="L20" s="9" t="n">
        <v>10</v>
      </c>
      <c r="M20" s="27" t="str">
        <v>No new decision today</v>
      </c>
      <c r="N20" s="8" t="n">
        <f>D20</f>
        <v>10</v>
      </c>
    </row>
    <row r="21" ht="28" customHeight="1">
      <c r="A21" s="9" t="n">
        <v>12</v>
      </c>
      <c r="B21" s="9" t="n">
        <v>30</v>
      </c>
      <c r="C21" s="9" t="n">
        <v>20</v>
      </c>
      <c r="D21" s="9" t="n">
        <f>MAX(0,B21-C21)</f>
        <v>10</v>
      </c>
      <c r="E21" s="9" t="n">
        <v>10</v>
      </c>
      <c r="F21" s="9" t="n">
        <f>MIN($B$6,MAX(0,E21-D21))</f>
        <v>0</v>
      </c>
      <c r="G21" s="9" t="str">
        <f>IF(F21&gt;0,"RUNNING","STOPPED")</f>
        <v>STOPPED</v>
      </c>
      <c r="H21" s="9" t="n">
        <f>MAX(0,E21-D21-F21)</f>
        <v>0</v>
      </c>
      <c r="I21" s="9" t="str">
        <v>No Action</v>
      </c>
      <c r="J21" s="9" t="n">
        <v>0</v>
      </c>
      <c r="K21" s="9" t="str">
        <v>—</v>
      </c>
      <c r="L21" s="9" t="n">
        <v>10</v>
      </c>
      <c r="M21" s="27" t="str">
        <v>No new decision today</v>
      </c>
      <c r="N21" s="8" t="n">
        <f>D21</f>
        <v>10</v>
      </c>
    </row>
    <row r="22" ht="28" customHeight="1">
      <c r="A22" s="9" t="n">
        <v>13</v>
      </c>
      <c r="B22" s="9" t="n">
        <v>30</v>
      </c>
      <c r="C22" s="9" t="n">
        <v>20</v>
      </c>
      <c r="D22" s="9" t="n">
        <f>MAX(0,B22-C22)</f>
        <v>10</v>
      </c>
      <c r="E22" s="9" t="n">
        <v>10</v>
      </c>
      <c r="F22" s="9" t="n">
        <f>MIN($B$6,MAX(0,E22-D22))</f>
        <v>0</v>
      </c>
      <c r="G22" s="9" t="str">
        <f>IF(F22&gt;0,"RUNNING","STOPPED")</f>
        <v>STOPPED</v>
      </c>
      <c r="H22" s="9" t="n">
        <f>MAX(0,E22-D22-F22)</f>
        <v>0</v>
      </c>
      <c r="I22" s="9" t="str">
        <v>No Action</v>
      </c>
      <c r="J22" s="9" t="n">
        <v>0</v>
      </c>
      <c r="K22" s="9" t="str">
        <v>—</v>
      </c>
      <c r="L22" s="9" t="n">
        <v>10</v>
      </c>
      <c r="M22" s="27" t="str">
        <v>No new decision today</v>
      </c>
      <c r="N22" s="8" t="n">
        <f>D22</f>
        <v>10</v>
      </c>
    </row>
    <row r="23" ht="28" customHeight="1">
      <c r="A23" s="9" t="n">
        <v>14</v>
      </c>
      <c r="B23" s="9" t="n">
        <v>30</v>
      </c>
      <c r="C23" s="9" t="n">
        <v>20</v>
      </c>
      <c r="D23" s="9" t="n">
        <f>MAX(0,B23-C23)</f>
        <v>10</v>
      </c>
      <c r="E23" s="9" t="n">
        <v>10</v>
      </c>
      <c r="F23" s="9" t="n">
        <f>MIN($B$6,MAX(0,E23-D23))</f>
        <v>0</v>
      </c>
      <c r="G23" s="9" t="str">
        <f>IF(F23&gt;0,"RUNNING","STOPPED")</f>
        <v>STOPPED</v>
      </c>
      <c r="H23" s="9" t="n">
        <f>MAX(0,E23-D23-F23)</f>
        <v>0</v>
      </c>
      <c r="I23" s="9" t="str">
        <v>No Action</v>
      </c>
      <c r="J23" s="9" t="n">
        <v>0</v>
      </c>
      <c r="K23" s="9" t="str">
        <v>—</v>
      </c>
      <c r="L23" s="9" t="n">
        <v>10</v>
      </c>
      <c r="M23" s="27" t="str">
        <v>No new decision today</v>
      </c>
      <c r="N23" s="8" t="n">
        <f>D23</f>
        <v>10</v>
      </c>
    </row>
    <row r="25" ht="34" customHeight="1">
      <c r="A25" s="46" t="str">
        <v>Default Floating mode: production always has priority; Crusher uses only actual surplus and never causes a request or prevents a release.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</row>
  </sheetData>
  <mergeCells>
    <mergeCell ref="A1:N1"/>
    <mergeCell ref="A25:N25"/>
  </mergeCells>
  <pageMargins left="0.7" right="0.7" top="0.75" bottom="0.75" header="0.3" footer="0.3"/>
</worksheet>
</file>